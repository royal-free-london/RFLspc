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30" yWindow="540" windowWidth="17190" windowHeight="11295"/>
  </bookViews>
  <sheets>
    <sheet name="Master" sheetId="3" r:id="rId1"/>
    <sheet name="Chart1" sheetId="5" state="hidden" r:id="rId2"/>
    <sheet name="Your data source" sheetId="6" r:id="rId3"/>
  </sheets>
  <definedNames>
    <definedName name="DateTimeStamps" localSheetId="0">OFFSET(Master!$B$26,0,0,COUNTA(Master!$B:$B)-7)</definedName>
    <definedName name="Goal" localSheetId="0">OFFSET(Master!$E$26,0,0,COUNTA(Master!$B:$B)-7)</definedName>
    <definedName name="Lower" localSheetId="0">OFFSET(Master!$AM$26,0,0,COUNTA(Master!$B:$B)-7)</definedName>
    <definedName name="Mean" localSheetId="0">OFFSET(Master!$AJ$26,0,0,COUNTA(Master!$B:$B)-7)</definedName>
    <definedName name="Outlier" localSheetId="0">OFFSET(Master!$AP$26,0,0,COUNTA(Master!$B:$B)-7)</definedName>
    <definedName name="Shift" localSheetId="0">OFFSET(Master!$AN$26,0,0,COUNTA(Master!$B:$B)-7)</definedName>
    <definedName name="Trajectory" localSheetId="0">OFFSET(Master!$D$26,0,0,COUNTA(Master!$B:$B)-7)</definedName>
    <definedName name="Trend" localSheetId="0">OFFSET(Master!$AO$26,0,0,COUNTA(Master!$B:$B)-7)</definedName>
    <definedName name="Upper" localSheetId="0">OFFSET(Master!$AL$26,0,0,COUNTA(Master!$B:$B)-7)</definedName>
    <definedName name="Value" localSheetId="0">OFFSET(Master!$C$26,0,0,COUNTA(Master!$B:$B)-7)</definedName>
    <definedName name="values" localSheetId="0">Master!$AT$26:$AW$35</definedName>
  </definedNames>
  <calcPr calcId="145621"/>
</workbook>
</file>

<file path=xl/calcChain.xml><?xml version="1.0" encoding="utf-8"?>
<calcChain xmlns="http://schemas.openxmlformats.org/spreadsheetml/2006/main">
  <c r="C67" i="3" l="1"/>
  <c r="C68" i="3"/>
  <c r="C69" i="3"/>
  <c r="C70" i="3"/>
  <c r="C71" i="3"/>
  <c r="C72" i="3"/>
  <c r="C73" i="3"/>
  <c r="C74" i="3"/>
  <c r="C75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26" i="3"/>
  <c r="C5" i="6"/>
  <c r="C27" i="3" s="1"/>
  <c r="C6" i="6"/>
  <c r="C28" i="3" s="1"/>
  <c r="C7" i="6"/>
  <c r="C29" i="3" s="1"/>
  <c r="C8" i="6"/>
  <c r="C30" i="3" s="1"/>
  <c r="C9" i="6"/>
  <c r="C31" i="3" s="1"/>
  <c r="C10" i="6"/>
  <c r="C32" i="3" s="1"/>
  <c r="C11" i="6"/>
  <c r="C33" i="3" s="1"/>
  <c r="C12" i="6"/>
  <c r="C34" i="3" s="1"/>
  <c r="C13" i="6"/>
  <c r="C35" i="3" s="1"/>
  <c r="C14" i="6"/>
  <c r="C36" i="3" s="1"/>
  <c r="C15" i="6"/>
  <c r="C37" i="3" s="1"/>
  <c r="C16" i="6"/>
  <c r="C38" i="3" s="1"/>
  <c r="C17" i="6"/>
  <c r="C39" i="3" s="1"/>
  <c r="C18" i="6"/>
  <c r="C40" i="3" s="1"/>
  <c r="C19" i="6"/>
  <c r="C41" i="3" s="1"/>
  <c r="C20" i="6"/>
  <c r="C42" i="3" s="1"/>
  <c r="C21" i="6"/>
  <c r="C43" i="3" s="1"/>
  <c r="C22" i="6"/>
  <c r="C44" i="3" s="1"/>
  <c r="C23" i="6"/>
  <c r="C45" i="3" s="1"/>
  <c r="C24" i="6"/>
  <c r="C46" i="3" s="1"/>
  <c r="C25" i="6"/>
  <c r="C47" i="3" s="1"/>
  <c r="C26" i="6"/>
  <c r="C48" i="3" s="1"/>
  <c r="C27" i="6"/>
  <c r="C49" i="3" s="1"/>
  <c r="C28" i="6"/>
  <c r="C50" i="3" s="1"/>
  <c r="C29" i="6"/>
  <c r="C51" i="3" s="1"/>
  <c r="C30" i="6"/>
  <c r="C52" i="3" s="1"/>
  <c r="C31" i="6"/>
  <c r="C53" i="3" s="1"/>
  <c r="C32" i="6"/>
  <c r="C54" i="3" s="1"/>
  <c r="C33" i="6"/>
  <c r="C55" i="3" s="1"/>
  <c r="C34" i="6"/>
  <c r="C56" i="3" s="1"/>
  <c r="C35" i="6"/>
  <c r="C57" i="3" s="1"/>
  <c r="C36" i="6"/>
  <c r="C58" i="3" s="1"/>
  <c r="C37" i="6"/>
  <c r="C59" i="3" s="1"/>
  <c r="C38" i="6"/>
  <c r="C60" i="3" s="1"/>
  <c r="C39" i="6"/>
  <c r="C61" i="3" s="1"/>
  <c r="C40" i="6"/>
  <c r="C62" i="3" s="1"/>
  <c r="C41" i="6"/>
  <c r="C63" i="3" s="1"/>
  <c r="C42" i="6"/>
  <c r="C64" i="3" s="1"/>
  <c r="C43" i="6"/>
  <c r="C65" i="3" s="1"/>
  <c r="C44" i="6"/>
  <c r="C66" i="3" s="1"/>
  <c r="C4" i="6"/>
  <c r="C26" i="3" s="1"/>
  <c r="AR284" i="3" l="1"/>
  <c r="AQ284" i="3"/>
  <c r="AM284" i="3"/>
  <c r="AP284" i="3" s="1"/>
  <c r="AL284" i="3"/>
  <c r="AK284" i="3"/>
  <c r="AJ284" i="3"/>
  <c r="W284" i="3"/>
  <c r="V284" i="3"/>
  <c r="U284" i="3"/>
  <c r="T284" i="3"/>
  <c r="S284" i="3"/>
  <c r="R284" i="3"/>
  <c r="Q284" i="3"/>
  <c r="P284" i="3"/>
  <c r="O284" i="3"/>
  <c r="N284" i="3"/>
  <c r="AR283" i="3"/>
  <c r="AQ283" i="3"/>
  <c r="AM283" i="3"/>
  <c r="AP283" i="3" s="1"/>
  <c r="AL283" i="3"/>
  <c r="AK283" i="3"/>
  <c r="AJ283" i="3"/>
  <c r="W283" i="3"/>
  <c r="V283" i="3"/>
  <c r="U283" i="3"/>
  <c r="T283" i="3"/>
  <c r="S283" i="3"/>
  <c r="R283" i="3"/>
  <c r="Q283" i="3"/>
  <c r="P283" i="3"/>
  <c r="O283" i="3"/>
  <c r="N283" i="3"/>
  <c r="G283" i="3"/>
  <c r="G284" i="3" s="1"/>
  <c r="I284" i="3" s="1"/>
  <c r="AR282" i="3"/>
  <c r="AQ282" i="3"/>
  <c r="AM282" i="3"/>
  <c r="AP282" i="3" s="1"/>
  <c r="AL282" i="3"/>
  <c r="AK282" i="3"/>
  <c r="AJ282" i="3"/>
  <c r="W282" i="3"/>
  <c r="V282" i="3"/>
  <c r="U282" i="3"/>
  <c r="T282" i="3"/>
  <c r="S282" i="3"/>
  <c r="R282" i="3"/>
  <c r="Q282" i="3"/>
  <c r="P282" i="3"/>
  <c r="O282" i="3"/>
  <c r="N282" i="3"/>
  <c r="G282" i="3"/>
  <c r="AR281" i="3"/>
  <c r="AQ281" i="3"/>
  <c r="AM281" i="3"/>
  <c r="AP281" i="3" s="1"/>
  <c r="AL281" i="3"/>
  <c r="AK281" i="3"/>
  <c r="AJ281" i="3"/>
  <c r="W281" i="3"/>
  <c r="V281" i="3"/>
  <c r="U281" i="3"/>
  <c r="T281" i="3"/>
  <c r="S281" i="3"/>
  <c r="R281" i="3"/>
  <c r="Q281" i="3"/>
  <c r="P281" i="3"/>
  <c r="O281" i="3"/>
  <c r="N281" i="3"/>
  <c r="G281" i="3"/>
  <c r="AR280" i="3"/>
  <c r="AQ280" i="3"/>
  <c r="AM280" i="3"/>
  <c r="AP280" i="3" s="1"/>
  <c r="AL280" i="3"/>
  <c r="AK280" i="3"/>
  <c r="AJ280" i="3"/>
  <c r="W280" i="3"/>
  <c r="V280" i="3"/>
  <c r="U280" i="3"/>
  <c r="T280" i="3"/>
  <c r="S280" i="3"/>
  <c r="R280" i="3"/>
  <c r="Q280" i="3"/>
  <c r="P280" i="3"/>
  <c r="O280" i="3"/>
  <c r="N280" i="3"/>
  <c r="G280" i="3"/>
  <c r="AR279" i="3"/>
  <c r="AQ279" i="3"/>
  <c r="AM279" i="3"/>
  <c r="AP279" i="3" s="1"/>
  <c r="AL279" i="3"/>
  <c r="AK279" i="3"/>
  <c r="AJ279" i="3"/>
  <c r="W279" i="3"/>
  <c r="V279" i="3"/>
  <c r="U279" i="3"/>
  <c r="T279" i="3"/>
  <c r="S279" i="3"/>
  <c r="R279" i="3"/>
  <c r="Q279" i="3"/>
  <c r="P279" i="3"/>
  <c r="O279" i="3"/>
  <c r="N279" i="3"/>
  <c r="G279" i="3"/>
  <c r="AR278" i="3"/>
  <c r="AQ278" i="3"/>
  <c r="AM278" i="3"/>
  <c r="AP278" i="3" s="1"/>
  <c r="AL278" i="3"/>
  <c r="AK278" i="3"/>
  <c r="AJ278" i="3"/>
  <c r="W278" i="3"/>
  <c r="V278" i="3"/>
  <c r="U278" i="3"/>
  <c r="T278" i="3"/>
  <c r="S278" i="3"/>
  <c r="R278" i="3"/>
  <c r="Q278" i="3"/>
  <c r="P278" i="3"/>
  <c r="O278" i="3"/>
  <c r="N278" i="3"/>
  <c r="G278" i="3"/>
  <c r="AR277" i="3"/>
  <c r="AQ277" i="3"/>
  <c r="AM277" i="3"/>
  <c r="AP277" i="3" s="1"/>
  <c r="AL277" i="3"/>
  <c r="AK277" i="3"/>
  <c r="AJ277" i="3"/>
  <c r="W277" i="3"/>
  <c r="V277" i="3"/>
  <c r="U277" i="3"/>
  <c r="T277" i="3"/>
  <c r="S277" i="3"/>
  <c r="R277" i="3"/>
  <c r="Q277" i="3"/>
  <c r="P277" i="3"/>
  <c r="O277" i="3"/>
  <c r="N277" i="3"/>
  <c r="G277" i="3"/>
  <c r="AR276" i="3"/>
  <c r="AQ276" i="3"/>
  <c r="AM276" i="3"/>
  <c r="AP276" i="3" s="1"/>
  <c r="AL276" i="3"/>
  <c r="AK276" i="3"/>
  <c r="AJ276" i="3"/>
  <c r="W276" i="3"/>
  <c r="V276" i="3"/>
  <c r="U276" i="3"/>
  <c r="T276" i="3"/>
  <c r="S276" i="3"/>
  <c r="R276" i="3"/>
  <c r="Q276" i="3"/>
  <c r="P276" i="3"/>
  <c r="O276" i="3"/>
  <c r="N276" i="3"/>
  <c r="G276" i="3"/>
  <c r="AR275" i="3"/>
  <c r="AQ275" i="3"/>
  <c r="AM275" i="3"/>
  <c r="AP275" i="3" s="1"/>
  <c r="AL275" i="3"/>
  <c r="AK275" i="3"/>
  <c r="AJ275" i="3"/>
  <c r="W275" i="3"/>
  <c r="V275" i="3"/>
  <c r="U275" i="3"/>
  <c r="T275" i="3"/>
  <c r="S275" i="3"/>
  <c r="R275" i="3"/>
  <c r="Q275" i="3"/>
  <c r="P275" i="3"/>
  <c r="O275" i="3"/>
  <c r="N275" i="3"/>
  <c r="G275" i="3"/>
  <c r="AR274" i="3"/>
  <c r="AQ274" i="3"/>
  <c r="AM274" i="3"/>
  <c r="AP274" i="3" s="1"/>
  <c r="AL274" i="3"/>
  <c r="AK274" i="3"/>
  <c r="AJ274" i="3"/>
  <c r="W274" i="3"/>
  <c r="V274" i="3"/>
  <c r="U274" i="3"/>
  <c r="T274" i="3"/>
  <c r="S274" i="3"/>
  <c r="R274" i="3"/>
  <c r="Q274" i="3"/>
  <c r="P274" i="3"/>
  <c r="O274" i="3"/>
  <c r="N274" i="3"/>
  <c r="G274" i="3"/>
  <c r="AR273" i="3"/>
  <c r="AQ273" i="3"/>
  <c r="AM273" i="3"/>
  <c r="AP273" i="3" s="1"/>
  <c r="AL273" i="3"/>
  <c r="AK273" i="3"/>
  <c r="AJ273" i="3"/>
  <c r="W273" i="3"/>
  <c r="V273" i="3"/>
  <c r="U273" i="3"/>
  <c r="T273" i="3"/>
  <c r="S273" i="3"/>
  <c r="R273" i="3"/>
  <c r="Q273" i="3"/>
  <c r="P273" i="3"/>
  <c r="O273" i="3"/>
  <c r="N273" i="3"/>
  <c r="G273" i="3"/>
  <c r="AR272" i="3"/>
  <c r="AQ272" i="3"/>
  <c r="AM272" i="3"/>
  <c r="AP272" i="3" s="1"/>
  <c r="AL272" i="3"/>
  <c r="AK272" i="3"/>
  <c r="AJ272" i="3"/>
  <c r="W272" i="3"/>
  <c r="V272" i="3"/>
  <c r="U272" i="3"/>
  <c r="T272" i="3"/>
  <c r="S272" i="3"/>
  <c r="R272" i="3"/>
  <c r="Q272" i="3"/>
  <c r="P272" i="3"/>
  <c r="O272" i="3"/>
  <c r="N272" i="3"/>
  <c r="G272" i="3"/>
  <c r="AR271" i="3"/>
  <c r="AQ271" i="3"/>
  <c r="AM271" i="3"/>
  <c r="AP271" i="3" s="1"/>
  <c r="AL271" i="3"/>
  <c r="AK271" i="3"/>
  <c r="AJ271" i="3"/>
  <c r="W271" i="3"/>
  <c r="V271" i="3"/>
  <c r="U271" i="3"/>
  <c r="T271" i="3"/>
  <c r="S271" i="3"/>
  <c r="R271" i="3"/>
  <c r="Q271" i="3"/>
  <c r="P271" i="3"/>
  <c r="O271" i="3"/>
  <c r="N271" i="3"/>
  <c r="G271" i="3"/>
  <c r="AR270" i="3"/>
  <c r="AQ270" i="3"/>
  <c r="AM270" i="3"/>
  <c r="AP270" i="3" s="1"/>
  <c r="AL270" i="3"/>
  <c r="AK270" i="3"/>
  <c r="AJ270" i="3"/>
  <c r="W270" i="3"/>
  <c r="V270" i="3"/>
  <c r="U270" i="3"/>
  <c r="T270" i="3"/>
  <c r="S270" i="3"/>
  <c r="R270" i="3"/>
  <c r="Q270" i="3"/>
  <c r="P270" i="3"/>
  <c r="O270" i="3"/>
  <c r="N270" i="3"/>
  <c r="G270" i="3"/>
  <c r="AR269" i="3"/>
  <c r="AQ269" i="3"/>
  <c r="AM269" i="3"/>
  <c r="AP269" i="3" s="1"/>
  <c r="AL269" i="3"/>
  <c r="AK269" i="3"/>
  <c r="AJ269" i="3"/>
  <c r="W269" i="3"/>
  <c r="V269" i="3"/>
  <c r="U269" i="3"/>
  <c r="T269" i="3"/>
  <c r="S269" i="3"/>
  <c r="R269" i="3"/>
  <c r="Q269" i="3"/>
  <c r="P269" i="3"/>
  <c r="O269" i="3"/>
  <c r="N269" i="3"/>
  <c r="G269" i="3"/>
  <c r="AR268" i="3"/>
  <c r="AQ268" i="3"/>
  <c r="AM268" i="3"/>
  <c r="AP268" i="3" s="1"/>
  <c r="AL268" i="3"/>
  <c r="AK268" i="3"/>
  <c r="AJ268" i="3"/>
  <c r="W268" i="3"/>
  <c r="V268" i="3"/>
  <c r="U268" i="3"/>
  <c r="T268" i="3"/>
  <c r="S268" i="3"/>
  <c r="R268" i="3"/>
  <c r="Q268" i="3"/>
  <c r="P268" i="3"/>
  <c r="O268" i="3"/>
  <c r="N268" i="3"/>
  <c r="G268" i="3"/>
  <c r="AR267" i="3"/>
  <c r="AQ267" i="3"/>
  <c r="AM267" i="3"/>
  <c r="AP267" i="3" s="1"/>
  <c r="AL267" i="3"/>
  <c r="AK267" i="3"/>
  <c r="AJ267" i="3"/>
  <c r="W267" i="3"/>
  <c r="V267" i="3"/>
  <c r="U267" i="3"/>
  <c r="T267" i="3"/>
  <c r="S267" i="3"/>
  <c r="R267" i="3"/>
  <c r="Q267" i="3"/>
  <c r="P267" i="3"/>
  <c r="O267" i="3"/>
  <c r="N267" i="3"/>
  <c r="G267" i="3"/>
  <c r="AR266" i="3"/>
  <c r="AQ266" i="3"/>
  <c r="AM266" i="3"/>
  <c r="AP266" i="3" s="1"/>
  <c r="AL266" i="3"/>
  <c r="AK266" i="3"/>
  <c r="AJ266" i="3"/>
  <c r="W266" i="3"/>
  <c r="V266" i="3"/>
  <c r="U266" i="3"/>
  <c r="T266" i="3"/>
  <c r="S266" i="3"/>
  <c r="R266" i="3"/>
  <c r="Q266" i="3"/>
  <c r="P266" i="3"/>
  <c r="O266" i="3"/>
  <c r="N266" i="3"/>
  <c r="G266" i="3"/>
  <c r="AR265" i="3"/>
  <c r="AQ265" i="3"/>
  <c r="AM265" i="3"/>
  <c r="AP265" i="3" s="1"/>
  <c r="AL265" i="3"/>
  <c r="AK265" i="3"/>
  <c r="AJ265" i="3"/>
  <c r="W265" i="3"/>
  <c r="V265" i="3"/>
  <c r="U265" i="3"/>
  <c r="T265" i="3"/>
  <c r="S265" i="3"/>
  <c r="R265" i="3"/>
  <c r="Q265" i="3"/>
  <c r="P265" i="3"/>
  <c r="O265" i="3"/>
  <c r="N265" i="3"/>
  <c r="G265" i="3"/>
  <c r="AR264" i="3"/>
  <c r="AQ264" i="3"/>
  <c r="AM264" i="3"/>
  <c r="AP264" i="3" s="1"/>
  <c r="AL264" i="3"/>
  <c r="AK264" i="3"/>
  <c r="AJ264" i="3"/>
  <c r="W264" i="3"/>
  <c r="V264" i="3"/>
  <c r="U264" i="3"/>
  <c r="T264" i="3"/>
  <c r="S264" i="3"/>
  <c r="R264" i="3"/>
  <c r="Q264" i="3"/>
  <c r="P264" i="3"/>
  <c r="O264" i="3"/>
  <c r="N264" i="3"/>
  <c r="G264" i="3"/>
  <c r="AR263" i="3"/>
  <c r="AQ263" i="3"/>
  <c r="AM263" i="3"/>
  <c r="AP263" i="3" s="1"/>
  <c r="AL263" i="3"/>
  <c r="AK263" i="3"/>
  <c r="AJ263" i="3"/>
  <c r="W263" i="3"/>
  <c r="V263" i="3"/>
  <c r="U263" i="3"/>
  <c r="T263" i="3"/>
  <c r="S263" i="3"/>
  <c r="R263" i="3"/>
  <c r="Q263" i="3"/>
  <c r="P263" i="3"/>
  <c r="O263" i="3"/>
  <c r="N263" i="3"/>
  <c r="G263" i="3"/>
  <c r="AR262" i="3"/>
  <c r="AQ262" i="3"/>
  <c r="AM262" i="3"/>
  <c r="AP262" i="3" s="1"/>
  <c r="AL262" i="3"/>
  <c r="AK262" i="3"/>
  <c r="AJ262" i="3"/>
  <c r="W262" i="3"/>
  <c r="V262" i="3"/>
  <c r="U262" i="3"/>
  <c r="T262" i="3"/>
  <c r="S262" i="3"/>
  <c r="R262" i="3"/>
  <c r="Q262" i="3"/>
  <c r="P262" i="3"/>
  <c r="O262" i="3"/>
  <c r="N262" i="3"/>
  <c r="G262" i="3"/>
  <c r="AR261" i="3"/>
  <c r="AQ261" i="3"/>
  <c r="AM261" i="3"/>
  <c r="AP261" i="3" s="1"/>
  <c r="AL261" i="3"/>
  <c r="AK261" i="3"/>
  <c r="AJ261" i="3"/>
  <c r="W261" i="3"/>
  <c r="V261" i="3"/>
  <c r="U261" i="3"/>
  <c r="T261" i="3"/>
  <c r="S261" i="3"/>
  <c r="R261" i="3"/>
  <c r="Q261" i="3"/>
  <c r="P261" i="3"/>
  <c r="O261" i="3"/>
  <c r="N261" i="3"/>
  <c r="G261" i="3"/>
  <c r="AR260" i="3"/>
  <c r="AQ260" i="3"/>
  <c r="AM260" i="3"/>
  <c r="AP260" i="3" s="1"/>
  <c r="AL260" i="3"/>
  <c r="AK260" i="3"/>
  <c r="AJ260" i="3"/>
  <c r="W260" i="3"/>
  <c r="V260" i="3"/>
  <c r="U260" i="3"/>
  <c r="T260" i="3"/>
  <c r="S260" i="3"/>
  <c r="R260" i="3"/>
  <c r="Q260" i="3"/>
  <c r="P260" i="3"/>
  <c r="O260" i="3"/>
  <c r="N260" i="3"/>
  <c r="G260" i="3"/>
  <c r="AR259" i="3"/>
  <c r="AQ259" i="3"/>
  <c r="AM259" i="3"/>
  <c r="AP259" i="3" s="1"/>
  <c r="AL259" i="3"/>
  <c r="AK259" i="3"/>
  <c r="AJ259" i="3"/>
  <c r="W259" i="3"/>
  <c r="V259" i="3"/>
  <c r="U259" i="3"/>
  <c r="T259" i="3"/>
  <c r="S259" i="3"/>
  <c r="R259" i="3"/>
  <c r="Q259" i="3"/>
  <c r="P259" i="3"/>
  <c r="O259" i="3"/>
  <c r="N259" i="3"/>
  <c r="G259" i="3"/>
  <c r="AR258" i="3"/>
  <c r="AQ258" i="3"/>
  <c r="AM258" i="3"/>
  <c r="AP258" i="3" s="1"/>
  <c r="AL258" i="3"/>
  <c r="AK258" i="3"/>
  <c r="AJ258" i="3"/>
  <c r="W258" i="3"/>
  <c r="V258" i="3"/>
  <c r="U258" i="3"/>
  <c r="T258" i="3"/>
  <c r="S258" i="3"/>
  <c r="R258" i="3"/>
  <c r="Q258" i="3"/>
  <c r="P258" i="3"/>
  <c r="O258" i="3"/>
  <c r="N258" i="3"/>
  <c r="G258" i="3"/>
  <c r="AR257" i="3"/>
  <c r="AQ257" i="3"/>
  <c r="AM257" i="3"/>
  <c r="AP257" i="3" s="1"/>
  <c r="AL257" i="3"/>
  <c r="AK257" i="3"/>
  <c r="AJ257" i="3"/>
  <c r="W257" i="3"/>
  <c r="V257" i="3"/>
  <c r="U257" i="3"/>
  <c r="T257" i="3"/>
  <c r="S257" i="3"/>
  <c r="R257" i="3"/>
  <c r="Q257" i="3"/>
  <c r="P257" i="3"/>
  <c r="O257" i="3"/>
  <c r="N257" i="3"/>
  <c r="G257" i="3"/>
  <c r="AR256" i="3"/>
  <c r="AQ256" i="3"/>
  <c r="AM256" i="3"/>
  <c r="AP256" i="3" s="1"/>
  <c r="AL256" i="3"/>
  <c r="AK256" i="3"/>
  <c r="AJ256" i="3"/>
  <c r="W256" i="3"/>
  <c r="V256" i="3"/>
  <c r="U256" i="3"/>
  <c r="T256" i="3"/>
  <c r="S256" i="3"/>
  <c r="R256" i="3"/>
  <c r="Q256" i="3"/>
  <c r="P256" i="3"/>
  <c r="O256" i="3"/>
  <c r="N256" i="3"/>
  <c r="G256" i="3"/>
  <c r="AR255" i="3"/>
  <c r="AQ255" i="3"/>
  <c r="AM255" i="3"/>
  <c r="AP255" i="3" s="1"/>
  <c r="AL255" i="3"/>
  <c r="AK255" i="3"/>
  <c r="AJ255" i="3"/>
  <c r="W255" i="3"/>
  <c r="V255" i="3"/>
  <c r="U255" i="3"/>
  <c r="T255" i="3"/>
  <c r="S255" i="3"/>
  <c r="R255" i="3"/>
  <c r="Q255" i="3"/>
  <c r="P255" i="3"/>
  <c r="O255" i="3"/>
  <c r="N255" i="3"/>
  <c r="G255" i="3"/>
  <c r="AR254" i="3"/>
  <c r="AQ254" i="3"/>
  <c r="AM254" i="3"/>
  <c r="AP254" i="3" s="1"/>
  <c r="AL254" i="3"/>
  <c r="AK254" i="3"/>
  <c r="AJ254" i="3"/>
  <c r="W254" i="3"/>
  <c r="V254" i="3"/>
  <c r="U254" i="3"/>
  <c r="T254" i="3"/>
  <c r="S254" i="3"/>
  <c r="R254" i="3"/>
  <c r="Q254" i="3"/>
  <c r="P254" i="3"/>
  <c r="O254" i="3"/>
  <c r="N254" i="3"/>
  <c r="G254" i="3"/>
  <c r="AR253" i="3"/>
  <c r="AQ253" i="3"/>
  <c r="AM253" i="3"/>
  <c r="AP253" i="3" s="1"/>
  <c r="AL253" i="3"/>
  <c r="AK253" i="3"/>
  <c r="AJ253" i="3"/>
  <c r="W253" i="3"/>
  <c r="V253" i="3"/>
  <c r="U253" i="3"/>
  <c r="T253" i="3"/>
  <c r="S253" i="3"/>
  <c r="R253" i="3"/>
  <c r="Q253" i="3"/>
  <c r="P253" i="3"/>
  <c r="O253" i="3"/>
  <c r="N253" i="3"/>
  <c r="G253" i="3"/>
  <c r="AR252" i="3"/>
  <c r="AQ252" i="3"/>
  <c r="AM252" i="3"/>
  <c r="AP252" i="3" s="1"/>
  <c r="AL252" i="3"/>
  <c r="AK252" i="3"/>
  <c r="AJ252" i="3"/>
  <c r="W252" i="3"/>
  <c r="V252" i="3"/>
  <c r="U252" i="3"/>
  <c r="T252" i="3"/>
  <c r="S252" i="3"/>
  <c r="R252" i="3"/>
  <c r="Q252" i="3"/>
  <c r="P252" i="3"/>
  <c r="O252" i="3"/>
  <c r="N252" i="3"/>
  <c r="G252" i="3"/>
  <c r="AR251" i="3"/>
  <c r="AQ251" i="3"/>
  <c r="AM251" i="3"/>
  <c r="AP251" i="3" s="1"/>
  <c r="AL251" i="3"/>
  <c r="AK251" i="3"/>
  <c r="AJ251" i="3"/>
  <c r="W251" i="3"/>
  <c r="V251" i="3"/>
  <c r="U251" i="3"/>
  <c r="T251" i="3"/>
  <c r="S251" i="3"/>
  <c r="R251" i="3"/>
  <c r="Q251" i="3"/>
  <c r="P251" i="3"/>
  <c r="O251" i="3"/>
  <c r="N251" i="3"/>
  <c r="G251" i="3"/>
  <c r="AR250" i="3"/>
  <c r="AQ250" i="3"/>
  <c r="AM250" i="3"/>
  <c r="AP250" i="3" s="1"/>
  <c r="AL250" i="3"/>
  <c r="AK250" i="3"/>
  <c r="AJ250" i="3"/>
  <c r="W250" i="3"/>
  <c r="V250" i="3"/>
  <c r="U250" i="3"/>
  <c r="T250" i="3"/>
  <c r="S250" i="3"/>
  <c r="R250" i="3"/>
  <c r="Q250" i="3"/>
  <c r="P250" i="3"/>
  <c r="O250" i="3"/>
  <c r="N250" i="3"/>
  <c r="G250" i="3"/>
  <c r="AR249" i="3"/>
  <c r="AQ249" i="3"/>
  <c r="AM249" i="3"/>
  <c r="AP249" i="3" s="1"/>
  <c r="AL249" i="3"/>
  <c r="AK249" i="3"/>
  <c r="AJ249" i="3"/>
  <c r="W249" i="3"/>
  <c r="V249" i="3"/>
  <c r="U249" i="3"/>
  <c r="T249" i="3"/>
  <c r="S249" i="3"/>
  <c r="R249" i="3"/>
  <c r="Q249" i="3"/>
  <c r="P249" i="3"/>
  <c r="O249" i="3"/>
  <c r="N249" i="3"/>
  <c r="G249" i="3"/>
  <c r="AR248" i="3"/>
  <c r="AQ248" i="3"/>
  <c r="AM248" i="3"/>
  <c r="AP248" i="3" s="1"/>
  <c r="AL248" i="3"/>
  <c r="AK248" i="3"/>
  <c r="AJ248" i="3"/>
  <c r="W248" i="3"/>
  <c r="V248" i="3"/>
  <c r="U248" i="3"/>
  <c r="T248" i="3"/>
  <c r="S248" i="3"/>
  <c r="R248" i="3"/>
  <c r="Q248" i="3"/>
  <c r="P248" i="3"/>
  <c r="O248" i="3"/>
  <c r="N248" i="3"/>
  <c r="G248" i="3"/>
  <c r="AR247" i="3"/>
  <c r="AQ247" i="3"/>
  <c r="AM247" i="3"/>
  <c r="AP247" i="3" s="1"/>
  <c r="AL247" i="3"/>
  <c r="AK247" i="3"/>
  <c r="AJ247" i="3"/>
  <c r="W247" i="3"/>
  <c r="V247" i="3"/>
  <c r="U247" i="3"/>
  <c r="T247" i="3"/>
  <c r="S247" i="3"/>
  <c r="R247" i="3"/>
  <c r="Q247" i="3"/>
  <c r="P247" i="3"/>
  <c r="O247" i="3"/>
  <c r="N247" i="3"/>
  <c r="G247" i="3"/>
  <c r="AR246" i="3"/>
  <c r="AQ246" i="3"/>
  <c r="AM246" i="3"/>
  <c r="AP246" i="3" s="1"/>
  <c r="AL246" i="3"/>
  <c r="AK246" i="3"/>
  <c r="AJ246" i="3"/>
  <c r="W246" i="3"/>
  <c r="V246" i="3"/>
  <c r="U246" i="3"/>
  <c r="T246" i="3"/>
  <c r="S246" i="3"/>
  <c r="R246" i="3"/>
  <c r="Q246" i="3"/>
  <c r="P246" i="3"/>
  <c r="O246" i="3"/>
  <c r="N246" i="3"/>
  <c r="G246" i="3"/>
  <c r="AR245" i="3"/>
  <c r="AQ245" i="3"/>
  <c r="AM245" i="3"/>
  <c r="AP245" i="3" s="1"/>
  <c r="AL245" i="3"/>
  <c r="AK245" i="3"/>
  <c r="AJ245" i="3"/>
  <c r="W245" i="3"/>
  <c r="V245" i="3"/>
  <c r="U245" i="3"/>
  <c r="T245" i="3"/>
  <c r="S245" i="3"/>
  <c r="R245" i="3"/>
  <c r="Q245" i="3"/>
  <c r="P245" i="3"/>
  <c r="O245" i="3"/>
  <c r="N245" i="3"/>
  <c r="G245" i="3"/>
  <c r="AR244" i="3"/>
  <c r="AQ244" i="3"/>
  <c r="AM244" i="3"/>
  <c r="AP244" i="3" s="1"/>
  <c r="AL244" i="3"/>
  <c r="AK244" i="3"/>
  <c r="AJ244" i="3"/>
  <c r="W244" i="3"/>
  <c r="V244" i="3"/>
  <c r="U244" i="3"/>
  <c r="T244" i="3"/>
  <c r="S244" i="3"/>
  <c r="R244" i="3"/>
  <c r="Q244" i="3"/>
  <c r="P244" i="3"/>
  <c r="O244" i="3"/>
  <c r="N244" i="3"/>
  <c r="G244" i="3"/>
  <c r="AR243" i="3"/>
  <c r="AQ243" i="3"/>
  <c r="AM243" i="3"/>
  <c r="AP243" i="3" s="1"/>
  <c r="AL243" i="3"/>
  <c r="AK243" i="3"/>
  <c r="AJ243" i="3"/>
  <c r="W243" i="3"/>
  <c r="V243" i="3"/>
  <c r="U243" i="3"/>
  <c r="T243" i="3"/>
  <c r="S243" i="3"/>
  <c r="R243" i="3"/>
  <c r="Q243" i="3"/>
  <c r="P243" i="3"/>
  <c r="O243" i="3"/>
  <c r="N243" i="3"/>
  <c r="G243" i="3"/>
  <c r="AR242" i="3"/>
  <c r="AQ242" i="3"/>
  <c r="AM242" i="3"/>
  <c r="AP242" i="3" s="1"/>
  <c r="AL242" i="3"/>
  <c r="AK242" i="3"/>
  <c r="AJ242" i="3"/>
  <c r="W242" i="3"/>
  <c r="V242" i="3"/>
  <c r="U242" i="3"/>
  <c r="T242" i="3"/>
  <c r="S242" i="3"/>
  <c r="R242" i="3"/>
  <c r="Q242" i="3"/>
  <c r="P242" i="3"/>
  <c r="O242" i="3"/>
  <c r="N242" i="3"/>
  <c r="G242" i="3"/>
  <c r="AR241" i="3"/>
  <c r="AQ241" i="3"/>
  <c r="AM241" i="3"/>
  <c r="AP241" i="3" s="1"/>
  <c r="AL241" i="3"/>
  <c r="AK241" i="3"/>
  <c r="AJ241" i="3"/>
  <c r="W241" i="3"/>
  <c r="V241" i="3"/>
  <c r="U241" i="3"/>
  <c r="T241" i="3"/>
  <c r="S241" i="3"/>
  <c r="R241" i="3"/>
  <c r="Q241" i="3"/>
  <c r="P241" i="3"/>
  <c r="O241" i="3"/>
  <c r="N241" i="3"/>
  <c r="G241" i="3"/>
  <c r="AR240" i="3"/>
  <c r="AQ240" i="3"/>
  <c r="AM240" i="3"/>
  <c r="AP240" i="3" s="1"/>
  <c r="AL240" i="3"/>
  <c r="AK240" i="3"/>
  <c r="AJ240" i="3"/>
  <c r="W240" i="3"/>
  <c r="V240" i="3"/>
  <c r="U240" i="3"/>
  <c r="T240" i="3"/>
  <c r="S240" i="3"/>
  <c r="R240" i="3"/>
  <c r="Q240" i="3"/>
  <c r="P240" i="3"/>
  <c r="O240" i="3"/>
  <c r="N240" i="3"/>
  <c r="G240" i="3"/>
  <c r="AR239" i="3"/>
  <c r="AQ239" i="3"/>
  <c r="AM239" i="3"/>
  <c r="AP239" i="3" s="1"/>
  <c r="AL239" i="3"/>
  <c r="AK239" i="3"/>
  <c r="AJ239" i="3"/>
  <c r="W239" i="3"/>
  <c r="V239" i="3"/>
  <c r="U239" i="3"/>
  <c r="T239" i="3"/>
  <c r="S239" i="3"/>
  <c r="R239" i="3"/>
  <c r="Q239" i="3"/>
  <c r="P239" i="3"/>
  <c r="O239" i="3"/>
  <c r="N239" i="3"/>
  <c r="G239" i="3"/>
  <c r="AR238" i="3"/>
  <c r="AQ238" i="3"/>
  <c r="AM238" i="3"/>
  <c r="AP238" i="3" s="1"/>
  <c r="AL238" i="3"/>
  <c r="AK238" i="3"/>
  <c r="AJ238" i="3"/>
  <c r="W238" i="3"/>
  <c r="V238" i="3"/>
  <c r="U238" i="3"/>
  <c r="T238" i="3"/>
  <c r="S238" i="3"/>
  <c r="R238" i="3"/>
  <c r="Q238" i="3"/>
  <c r="P238" i="3"/>
  <c r="O238" i="3"/>
  <c r="N238" i="3"/>
  <c r="G238" i="3"/>
  <c r="AR237" i="3"/>
  <c r="AQ237" i="3"/>
  <c r="AM237" i="3"/>
  <c r="AP237" i="3" s="1"/>
  <c r="AL237" i="3"/>
  <c r="AK237" i="3"/>
  <c r="AJ237" i="3"/>
  <c r="W237" i="3"/>
  <c r="V237" i="3"/>
  <c r="U237" i="3"/>
  <c r="T237" i="3"/>
  <c r="S237" i="3"/>
  <c r="R237" i="3"/>
  <c r="Q237" i="3"/>
  <c r="P237" i="3"/>
  <c r="O237" i="3"/>
  <c r="N237" i="3"/>
  <c r="G237" i="3"/>
  <c r="AR236" i="3"/>
  <c r="AQ236" i="3"/>
  <c r="AM236" i="3"/>
  <c r="AP236" i="3" s="1"/>
  <c r="AL236" i="3"/>
  <c r="AK236" i="3"/>
  <c r="AJ236" i="3"/>
  <c r="W236" i="3"/>
  <c r="V236" i="3"/>
  <c r="U236" i="3"/>
  <c r="T236" i="3"/>
  <c r="S236" i="3"/>
  <c r="R236" i="3"/>
  <c r="Q236" i="3"/>
  <c r="P236" i="3"/>
  <c r="O236" i="3"/>
  <c r="N236" i="3"/>
  <c r="G236" i="3"/>
  <c r="AR235" i="3"/>
  <c r="AQ235" i="3"/>
  <c r="AM235" i="3"/>
  <c r="AP235" i="3" s="1"/>
  <c r="AL235" i="3"/>
  <c r="AK235" i="3"/>
  <c r="AJ235" i="3"/>
  <c r="W235" i="3"/>
  <c r="V235" i="3"/>
  <c r="U235" i="3"/>
  <c r="T235" i="3"/>
  <c r="S235" i="3"/>
  <c r="R235" i="3"/>
  <c r="Q235" i="3"/>
  <c r="P235" i="3"/>
  <c r="O235" i="3"/>
  <c r="N235" i="3"/>
  <c r="G235" i="3"/>
  <c r="AR234" i="3"/>
  <c r="AQ234" i="3"/>
  <c r="AM234" i="3"/>
  <c r="AP234" i="3" s="1"/>
  <c r="AL234" i="3"/>
  <c r="AK234" i="3"/>
  <c r="AJ234" i="3"/>
  <c r="W234" i="3"/>
  <c r="V234" i="3"/>
  <c r="U234" i="3"/>
  <c r="T234" i="3"/>
  <c r="S234" i="3"/>
  <c r="R234" i="3"/>
  <c r="Q234" i="3"/>
  <c r="P234" i="3"/>
  <c r="O234" i="3"/>
  <c r="N234" i="3"/>
  <c r="G234" i="3"/>
  <c r="AR233" i="3"/>
  <c r="AQ233" i="3"/>
  <c r="AM233" i="3"/>
  <c r="AP233" i="3" s="1"/>
  <c r="AL233" i="3"/>
  <c r="AK233" i="3"/>
  <c r="AJ233" i="3"/>
  <c r="W233" i="3"/>
  <c r="V233" i="3"/>
  <c r="U233" i="3"/>
  <c r="T233" i="3"/>
  <c r="S233" i="3"/>
  <c r="R233" i="3"/>
  <c r="Q233" i="3"/>
  <c r="P233" i="3"/>
  <c r="O233" i="3"/>
  <c r="N233" i="3"/>
  <c r="G233" i="3"/>
  <c r="AR232" i="3"/>
  <c r="AQ232" i="3"/>
  <c r="AM232" i="3"/>
  <c r="AP232" i="3" s="1"/>
  <c r="AL232" i="3"/>
  <c r="AK232" i="3"/>
  <c r="AJ232" i="3"/>
  <c r="W232" i="3"/>
  <c r="V232" i="3"/>
  <c r="U232" i="3"/>
  <c r="T232" i="3"/>
  <c r="S232" i="3"/>
  <c r="R232" i="3"/>
  <c r="Q232" i="3"/>
  <c r="P232" i="3"/>
  <c r="O232" i="3"/>
  <c r="N232" i="3"/>
  <c r="G232" i="3"/>
  <c r="AR231" i="3"/>
  <c r="AQ231" i="3"/>
  <c r="AM231" i="3"/>
  <c r="AP231" i="3" s="1"/>
  <c r="AL231" i="3"/>
  <c r="AK231" i="3"/>
  <c r="AJ231" i="3"/>
  <c r="W231" i="3"/>
  <c r="V231" i="3"/>
  <c r="U231" i="3"/>
  <c r="T231" i="3"/>
  <c r="S231" i="3"/>
  <c r="R231" i="3"/>
  <c r="Q231" i="3"/>
  <c r="P231" i="3"/>
  <c r="O231" i="3"/>
  <c r="N231" i="3"/>
  <c r="G231" i="3"/>
  <c r="AR230" i="3"/>
  <c r="AQ230" i="3"/>
  <c r="AM230" i="3"/>
  <c r="AP230" i="3" s="1"/>
  <c r="AL230" i="3"/>
  <c r="AK230" i="3"/>
  <c r="AJ230" i="3"/>
  <c r="W230" i="3"/>
  <c r="V230" i="3"/>
  <c r="U230" i="3"/>
  <c r="T230" i="3"/>
  <c r="S230" i="3"/>
  <c r="R230" i="3"/>
  <c r="Q230" i="3"/>
  <c r="P230" i="3"/>
  <c r="O230" i="3"/>
  <c r="N230" i="3"/>
  <c r="G230" i="3"/>
  <c r="AR229" i="3"/>
  <c r="AQ229" i="3"/>
  <c r="AM229" i="3"/>
  <c r="AP229" i="3" s="1"/>
  <c r="AL229" i="3"/>
  <c r="AK229" i="3"/>
  <c r="AJ229" i="3"/>
  <c r="W229" i="3"/>
  <c r="V229" i="3"/>
  <c r="U229" i="3"/>
  <c r="T229" i="3"/>
  <c r="S229" i="3"/>
  <c r="R229" i="3"/>
  <c r="Q229" i="3"/>
  <c r="P229" i="3"/>
  <c r="O229" i="3"/>
  <c r="N229" i="3"/>
  <c r="G229" i="3"/>
  <c r="AR228" i="3"/>
  <c r="AQ228" i="3"/>
  <c r="AM228" i="3"/>
  <c r="AP228" i="3" s="1"/>
  <c r="AL228" i="3"/>
  <c r="AK228" i="3"/>
  <c r="AJ228" i="3"/>
  <c r="W228" i="3"/>
  <c r="V228" i="3"/>
  <c r="U228" i="3"/>
  <c r="T228" i="3"/>
  <c r="S228" i="3"/>
  <c r="R228" i="3"/>
  <c r="Q228" i="3"/>
  <c r="P228" i="3"/>
  <c r="O228" i="3"/>
  <c r="N228" i="3"/>
  <c r="G228" i="3"/>
  <c r="AR227" i="3"/>
  <c r="AQ227" i="3"/>
  <c r="AM227" i="3"/>
  <c r="AP227" i="3" s="1"/>
  <c r="AL227" i="3"/>
  <c r="AK227" i="3"/>
  <c r="AJ227" i="3"/>
  <c r="W227" i="3"/>
  <c r="V227" i="3"/>
  <c r="U227" i="3"/>
  <c r="T227" i="3"/>
  <c r="S227" i="3"/>
  <c r="R227" i="3"/>
  <c r="Q227" i="3"/>
  <c r="P227" i="3"/>
  <c r="O227" i="3"/>
  <c r="N227" i="3"/>
  <c r="G227" i="3"/>
  <c r="AR226" i="3"/>
  <c r="AQ226" i="3"/>
  <c r="AM226" i="3"/>
  <c r="AP226" i="3" s="1"/>
  <c r="AL226" i="3"/>
  <c r="AK226" i="3"/>
  <c r="AJ226" i="3"/>
  <c r="W226" i="3"/>
  <c r="V226" i="3"/>
  <c r="U226" i="3"/>
  <c r="T226" i="3"/>
  <c r="S226" i="3"/>
  <c r="R226" i="3"/>
  <c r="Q226" i="3"/>
  <c r="P226" i="3"/>
  <c r="O226" i="3"/>
  <c r="N226" i="3"/>
  <c r="G226" i="3"/>
  <c r="AR225" i="3"/>
  <c r="AQ225" i="3"/>
  <c r="AM225" i="3"/>
  <c r="AP225" i="3" s="1"/>
  <c r="AL225" i="3"/>
  <c r="AK225" i="3"/>
  <c r="AJ225" i="3"/>
  <c r="W225" i="3"/>
  <c r="V225" i="3"/>
  <c r="U225" i="3"/>
  <c r="T225" i="3"/>
  <c r="S225" i="3"/>
  <c r="R225" i="3"/>
  <c r="Q225" i="3"/>
  <c r="P225" i="3"/>
  <c r="O225" i="3"/>
  <c r="N225" i="3"/>
  <c r="G225" i="3"/>
  <c r="AR224" i="3"/>
  <c r="AQ224" i="3"/>
  <c r="AM224" i="3"/>
  <c r="AP224" i="3" s="1"/>
  <c r="AL224" i="3"/>
  <c r="AK224" i="3"/>
  <c r="AJ224" i="3"/>
  <c r="W224" i="3"/>
  <c r="V224" i="3"/>
  <c r="U224" i="3"/>
  <c r="T224" i="3"/>
  <c r="S224" i="3"/>
  <c r="R224" i="3"/>
  <c r="Q224" i="3"/>
  <c r="P224" i="3"/>
  <c r="O224" i="3"/>
  <c r="N224" i="3"/>
  <c r="G224" i="3"/>
  <c r="AR223" i="3"/>
  <c r="AQ223" i="3"/>
  <c r="AM223" i="3"/>
  <c r="AP223" i="3" s="1"/>
  <c r="AL223" i="3"/>
  <c r="AK223" i="3"/>
  <c r="AJ223" i="3"/>
  <c r="W223" i="3"/>
  <c r="V223" i="3"/>
  <c r="U223" i="3"/>
  <c r="T223" i="3"/>
  <c r="S223" i="3"/>
  <c r="R223" i="3"/>
  <c r="Q223" i="3"/>
  <c r="P223" i="3"/>
  <c r="O223" i="3"/>
  <c r="N223" i="3"/>
  <c r="G223" i="3"/>
  <c r="AR222" i="3"/>
  <c r="AQ222" i="3"/>
  <c r="AM222" i="3"/>
  <c r="AP222" i="3" s="1"/>
  <c r="AL222" i="3"/>
  <c r="AK222" i="3"/>
  <c r="AJ222" i="3"/>
  <c r="W222" i="3"/>
  <c r="V222" i="3"/>
  <c r="U222" i="3"/>
  <c r="T222" i="3"/>
  <c r="S222" i="3"/>
  <c r="R222" i="3"/>
  <c r="Q222" i="3"/>
  <c r="P222" i="3"/>
  <c r="O222" i="3"/>
  <c r="N222" i="3"/>
  <c r="G222" i="3"/>
  <c r="AR221" i="3"/>
  <c r="AQ221" i="3"/>
  <c r="AM221" i="3"/>
  <c r="AP221" i="3" s="1"/>
  <c r="AL221" i="3"/>
  <c r="AK221" i="3"/>
  <c r="AJ221" i="3"/>
  <c r="W221" i="3"/>
  <c r="V221" i="3"/>
  <c r="U221" i="3"/>
  <c r="T221" i="3"/>
  <c r="S221" i="3"/>
  <c r="R221" i="3"/>
  <c r="Q221" i="3"/>
  <c r="P221" i="3"/>
  <c r="O221" i="3"/>
  <c r="N221" i="3"/>
  <c r="G221" i="3"/>
  <c r="AR220" i="3"/>
  <c r="AQ220" i="3"/>
  <c r="AM220" i="3"/>
  <c r="AP220" i="3" s="1"/>
  <c r="AL220" i="3"/>
  <c r="AK220" i="3"/>
  <c r="AJ220" i="3"/>
  <c r="W220" i="3"/>
  <c r="V220" i="3"/>
  <c r="U220" i="3"/>
  <c r="T220" i="3"/>
  <c r="S220" i="3"/>
  <c r="R220" i="3"/>
  <c r="Q220" i="3"/>
  <c r="P220" i="3"/>
  <c r="O220" i="3"/>
  <c r="N220" i="3"/>
  <c r="G220" i="3"/>
  <c r="AR219" i="3"/>
  <c r="AQ219" i="3"/>
  <c r="AM219" i="3"/>
  <c r="AP219" i="3" s="1"/>
  <c r="AL219" i="3"/>
  <c r="AK219" i="3"/>
  <c r="AJ219" i="3"/>
  <c r="W219" i="3"/>
  <c r="V219" i="3"/>
  <c r="U219" i="3"/>
  <c r="T219" i="3"/>
  <c r="S219" i="3"/>
  <c r="R219" i="3"/>
  <c r="Q219" i="3"/>
  <c r="P219" i="3"/>
  <c r="O219" i="3"/>
  <c r="N219" i="3"/>
  <c r="G219" i="3"/>
  <c r="AR218" i="3"/>
  <c r="AQ218" i="3"/>
  <c r="AM218" i="3"/>
  <c r="AP218" i="3" s="1"/>
  <c r="AL218" i="3"/>
  <c r="AK218" i="3"/>
  <c r="AJ218" i="3"/>
  <c r="W218" i="3"/>
  <c r="V218" i="3"/>
  <c r="U218" i="3"/>
  <c r="T218" i="3"/>
  <c r="S218" i="3"/>
  <c r="R218" i="3"/>
  <c r="Q218" i="3"/>
  <c r="P218" i="3"/>
  <c r="O218" i="3"/>
  <c r="N218" i="3"/>
  <c r="G218" i="3"/>
  <c r="AR217" i="3"/>
  <c r="AQ217" i="3"/>
  <c r="AM217" i="3"/>
  <c r="AP217" i="3" s="1"/>
  <c r="AL217" i="3"/>
  <c r="AK217" i="3"/>
  <c r="AJ217" i="3"/>
  <c r="W217" i="3"/>
  <c r="V217" i="3"/>
  <c r="U217" i="3"/>
  <c r="T217" i="3"/>
  <c r="S217" i="3"/>
  <c r="R217" i="3"/>
  <c r="Q217" i="3"/>
  <c r="P217" i="3"/>
  <c r="O217" i="3"/>
  <c r="N217" i="3"/>
  <c r="G217" i="3"/>
  <c r="AR216" i="3"/>
  <c r="AQ216" i="3"/>
  <c r="AM216" i="3"/>
  <c r="AP216" i="3" s="1"/>
  <c r="AL216" i="3"/>
  <c r="AK216" i="3"/>
  <c r="AJ216" i="3"/>
  <c r="W216" i="3"/>
  <c r="V216" i="3"/>
  <c r="U216" i="3"/>
  <c r="T216" i="3"/>
  <c r="S216" i="3"/>
  <c r="R216" i="3"/>
  <c r="Q216" i="3"/>
  <c r="P216" i="3"/>
  <c r="O216" i="3"/>
  <c r="N216" i="3"/>
  <c r="G216" i="3"/>
  <c r="AR215" i="3"/>
  <c r="AQ215" i="3"/>
  <c r="AM215" i="3"/>
  <c r="AP215" i="3" s="1"/>
  <c r="AL215" i="3"/>
  <c r="AK215" i="3"/>
  <c r="AJ215" i="3"/>
  <c r="W215" i="3"/>
  <c r="V215" i="3"/>
  <c r="U215" i="3"/>
  <c r="T215" i="3"/>
  <c r="S215" i="3"/>
  <c r="R215" i="3"/>
  <c r="Q215" i="3"/>
  <c r="P215" i="3"/>
  <c r="O215" i="3"/>
  <c r="N215" i="3"/>
  <c r="G215" i="3"/>
  <c r="AR214" i="3"/>
  <c r="AQ214" i="3"/>
  <c r="AM214" i="3"/>
  <c r="AP214" i="3" s="1"/>
  <c r="AL214" i="3"/>
  <c r="AK214" i="3"/>
  <c r="AJ214" i="3"/>
  <c r="W214" i="3"/>
  <c r="V214" i="3"/>
  <c r="U214" i="3"/>
  <c r="T214" i="3"/>
  <c r="S214" i="3"/>
  <c r="R214" i="3"/>
  <c r="Q214" i="3"/>
  <c r="P214" i="3"/>
  <c r="O214" i="3"/>
  <c r="N214" i="3"/>
  <c r="G214" i="3"/>
  <c r="AR213" i="3"/>
  <c r="AQ213" i="3"/>
  <c r="AM213" i="3"/>
  <c r="AP213" i="3" s="1"/>
  <c r="AL213" i="3"/>
  <c r="AK213" i="3"/>
  <c r="AJ213" i="3"/>
  <c r="W213" i="3"/>
  <c r="V213" i="3"/>
  <c r="U213" i="3"/>
  <c r="T213" i="3"/>
  <c r="S213" i="3"/>
  <c r="R213" i="3"/>
  <c r="Q213" i="3"/>
  <c r="P213" i="3"/>
  <c r="O213" i="3"/>
  <c r="N213" i="3"/>
  <c r="G213" i="3"/>
  <c r="AR212" i="3"/>
  <c r="AQ212" i="3"/>
  <c r="AM212" i="3"/>
  <c r="AP212" i="3" s="1"/>
  <c r="AL212" i="3"/>
  <c r="AK212" i="3"/>
  <c r="AJ212" i="3"/>
  <c r="W212" i="3"/>
  <c r="V212" i="3"/>
  <c r="U212" i="3"/>
  <c r="T212" i="3"/>
  <c r="S212" i="3"/>
  <c r="R212" i="3"/>
  <c r="Q212" i="3"/>
  <c r="P212" i="3"/>
  <c r="O212" i="3"/>
  <c r="N212" i="3"/>
  <c r="G212" i="3"/>
  <c r="AR211" i="3"/>
  <c r="AQ211" i="3"/>
  <c r="AM211" i="3"/>
  <c r="AP211" i="3" s="1"/>
  <c r="AL211" i="3"/>
  <c r="AK211" i="3"/>
  <c r="AJ211" i="3"/>
  <c r="W211" i="3"/>
  <c r="V211" i="3"/>
  <c r="U211" i="3"/>
  <c r="T211" i="3"/>
  <c r="S211" i="3"/>
  <c r="R211" i="3"/>
  <c r="Q211" i="3"/>
  <c r="P211" i="3"/>
  <c r="O211" i="3"/>
  <c r="N211" i="3"/>
  <c r="G211" i="3"/>
  <c r="AR210" i="3"/>
  <c r="AQ210" i="3"/>
  <c r="AM210" i="3"/>
  <c r="AP210" i="3" s="1"/>
  <c r="AL210" i="3"/>
  <c r="AK210" i="3"/>
  <c r="AJ210" i="3"/>
  <c r="W210" i="3"/>
  <c r="V210" i="3"/>
  <c r="U210" i="3"/>
  <c r="T210" i="3"/>
  <c r="S210" i="3"/>
  <c r="R210" i="3"/>
  <c r="Q210" i="3"/>
  <c r="P210" i="3"/>
  <c r="O210" i="3"/>
  <c r="N210" i="3"/>
  <c r="G210" i="3"/>
  <c r="AR209" i="3"/>
  <c r="AQ209" i="3"/>
  <c r="AM209" i="3"/>
  <c r="AP209" i="3" s="1"/>
  <c r="AL209" i="3"/>
  <c r="AK209" i="3"/>
  <c r="AJ209" i="3"/>
  <c r="W209" i="3"/>
  <c r="V209" i="3"/>
  <c r="U209" i="3"/>
  <c r="T209" i="3"/>
  <c r="S209" i="3"/>
  <c r="R209" i="3"/>
  <c r="Q209" i="3"/>
  <c r="P209" i="3"/>
  <c r="O209" i="3"/>
  <c r="N209" i="3"/>
  <c r="G209" i="3"/>
  <c r="AR208" i="3"/>
  <c r="AQ208" i="3"/>
  <c r="AM208" i="3"/>
  <c r="AP208" i="3" s="1"/>
  <c r="AL208" i="3"/>
  <c r="AK208" i="3"/>
  <c r="AJ208" i="3"/>
  <c r="W208" i="3"/>
  <c r="V208" i="3"/>
  <c r="U208" i="3"/>
  <c r="T208" i="3"/>
  <c r="S208" i="3"/>
  <c r="R208" i="3"/>
  <c r="Q208" i="3"/>
  <c r="P208" i="3"/>
  <c r="O208" i="3"/>
  <c r="N208" i="3"/>
  <c r="G208" i="3"/>
  <c r="AR207" i="3"/>
  <c r="AQ207" i="3"/>
  <c r="AM207" i="3"/>
  <c r="AP207" i="3" s="1"/>
  <c r="AL207" i="3"/>
  <c r="AK207" i="3"/>
  <c r="AJ207" i="3"/>
  <c r="W207" i="3"/>
  <c r="V207" i="3"/>
  <c r="U207" i="3"/>
  <c r="T207" i="3"/>
  <c r="S207" i="3"/>
  <c r="R207" i="3"/>
  <c r="Q207" i="3"/>
  <c r="P207" i="3"/>
  <c r="O207" i="3"/>
  <c r="N207" i="3"/>
  <c r="G207" i="3"/>
  <c r="AR206" i="3"/>
  <c r="AQ206" i="3"/>
  <c r="AM206" i="3"/>
  <c r="AP206" i="3" s="1"/>
  <c r="AL206" i="3"/>
  <c r="AK206" i="3"/>
  <c r="AJ206" i="3"/>
  <c r="W206" i="3"/>
  <c r="V206" i="3"/>
  <c r="U206" i="3"/>
  <c r="T206" i="3"/>
  <c r="S206" i="3"/>
  <c r="R206" i="3"/>
  <c r="Q206" i="3"/>
  <c r="P206" i="3"/>
  <c r="O206" i="3"/>
  <c r="N206" i="3"/>
  <c r="G206" i="3"/>
  <c r="AR205" i="3"/>
  <c r="AQ205" i="3"/>
  <c r="AM205" i="3"/>
  <c r="AP205" i="3" s="1"/>
  <c r="AL205" i="3"/>
  <c r="AK205" i="3"/>
  <c r="AJ205" i="3"/>
  <c r="W205" i="3"/>
  <c r="V205" i="3"/>
  <c r="U205" i="3"/>
  <c r="T205" i="3"/>
  <c r="S205" i="3"/>
  <c r="R205" i="3"/>
  <c r="Q205" i="3"/>
  <c r="P205" i="3"/>
  <c r="O205" i="3"/>
  <c r="N205" i="3"/>
  <c r="G205" i="3"/>
  <c r="AR204" i="3"/>
  <c r="AQ204" i="3"/>
  <c r="AM204" i="3"/>
  <c r="AP204" i="3" s="1"/>
  <c r="AL204" i="3"/>
  <c r="AK204" i="3"/>
  <c r="AJ204" i="3"/>
  <c r="W204" i="3"/>
  <c r="V204" i="3"/>
  <c r="U204" i="3"/>
  <c r="T204" i="3"/>
  <c r="S204" i="3"/>
  <c r="R204" i="3"/>
  <c r="Q204" i="3"/>
  <c r="P204" i="3"/>
  <c r="O204" i="3"/>
  <c r="N204" i="3"/>
  <c r="G204" i="3"/>
  <c r="AR203" i="3"/>
  <c r="AQ203" i="3"/>
  <c r="AM203" i="3"/>
  <c r="AP203" i="3" s="1"/>
  <c r="AL203" i="3"/>
  <c r="AK203" i="3"/>
  <c r="AJ203" i="3"/>
  <c r="W203" i="3"/>
  <c r="V203" i="3"/>
  <c r="U203" i="3"/>
  <c r="T203" i="3"/>
  <c r="S203" i="3"/>
  <c r="R203" i="3"/>
  <c r="Q203" i="3"/>
  <c r="P203" i="3"/>
  <c r="O203" i="3"/>
  <c r="N203" i="3"/>
  <c r="G203" i="3"/>
  <c r="AR202" i="3"/>
  <c r="AQ202" i="3"/>
  <c r="AM202" i="3"/>
  <c r="AP202" i="3" s="1"/>
  <c r="AL202" i="3"/>
  <c r="AK202" i="3"/>
  <c r="AJ202" i="3"/>
  <c r="W202" i="3"/>
  <c r="V202" i="3"/>
  <c r="U202" i="3"/>
  <c r="T202" i="3"/>
  <c r="S202" i="3"/>
  <c r="R202" i="3"/>
  <c r="Q202" i="3"/>
  <c r="P202" i="3"/>
  <c r="O202" i="3"/>
  <c r="N202" i="3"/>
  <c r="G202" i="3"/>
  <c r="AR201" i="3"/>
  <c r="AQ201" i="3"/>
  <c r="AM201" i="3"/>
  <c r="AP201" i="3" s="1"/>
  <c r="AL201" i="3"/>
  <c r="AK201" i="3"/>
  <c r="AJ201" i="3"/>
  <c r="W201" i="3"/>
  <c r="V201" i="3"/>
  <c r="U201" i="3"/>
  <c r="T201" i="3"/>
  <c r="S201" i="3"/>
  <c r="R201" i="3"/>
  <c r="Q201" i="3"/>
  <c r="P201" i="3"/>
  <c r="O201" i="3"/>
  <c r="N201" i="3"/>
  <c r="G201" i="3"/>
  <c r="AR200" i="3"/>
  <c r="AQ200" i="3"/>
  <c r="AM200" i="3"/>
  <c r="AP200" i="3" s="1"/>
  <c r="AL200" i="3"/>
  <c r="AK200" i="3"/>
  <c r="AJ200" i="3"/>
  <c r="W200" i="3"/>
  <c r="V200" i="3"/>
  <c r="U200" i="3"/>
  <c r="T200" i="3"/>
  <c r="S200" i="3"/>
  <c r="R200" i="3"/>
  <c r="Q200" i="3"/>
  <c r="P200" i="3"/>
  <c r="O200" i="3"/>
  <c r="N200" i="3"/>
  <c r="G200" i="3"/>
  <c r="AR199" i="3"/>
  <c r="AQ199" i="3"/>
  <c r="AM199" i="3"/>
  <c r="AP199" i="3" s="1"/>
  <c r="AL199" i="3"/>
  <c r="AK199" i="3"/>
  <c r="AJ199" i="3"/>
  <c r="W199" i="3"/>
  <c r="V199" i="3"/>
  <c r="U199" i="3"/>
  <c r="T199" i="3"/>
  <c r="S199" i="3"/>
  <c r="R199" i="3"/>
  <c r="Q199" i="3"/>
  <c r="P199" i="3"/>
  <c r="O199" i="3"/>
  <c r="N199" i="3"/>
  <c r="G199" i="3"/>
  <c r="AR198" i="3"/>
  <c r="AQ198" i="3"/>
  <c r="AM198" i="3"/>
  <c r="AP198" i="3" s="1"/>
  <c r="AL198" i="3"/>
  <c r="AK198" i="3"/>
  <c r="AJ198" i="3"/>
  <c r="W198" i="3"/>
  <c r="V198" i="3"/>
  <c r="U198" i="3"/>
  <c r="T198" i="3"/>
  <c r="S198" i="3"/>
  <c r="R198" i="3"/>
  <c r="Q198" i="3"/>
  <c r="P198" i="3"/>
  <c r="O198" i="3"/>
  <c r="N198" i="3"/>
  <c r="G198" i="3"/>
  <c r="AR197" i="3"/>
  <c r="AQ197" i="3"/>
  <c r="AM197" i="3"/>
  <c r="AP197" i="3" s="1"/>
  <c r="AL197" i="3"/>
  <c r="AK197" i="3"/>
  <c r="AJ197" i="3"/>
  <c r="W197" i="3"/>
  <c r="V197" i="3"/>
  <c r="U197" i="3"/>
  <c r="T197" i="3"/>
  <c r="S197" i="3"/>
  <c r="R197" i="3"/>
  <c r="Q197" i="3"/>
  <c r="P197" i="3"/>
  <c r="O197" i="3"/>
  <c r="N197" i="3"/>
  <c r="G197" i="3"/>
  <c r="AR196" i="3"/>
  <c r="AQ196" i="3"/>
  <c r="AM196" i="3"/>
  <c r="AP196" i="3" s="1"/>
  <c r="AL196" i="3"/>
  <c r="AK196" i="3"/>
  <c r="AJ196" i="3"/>
  <c r="W196" i="3"/>
  <c r="V196" i="3"/>
  <c r="U196" i="3"/>
  <c r="T196" i="3"/>
  <c r="S196" i="3"/>
  <c r="R196" i="3"/>
  <c r="Q196" i="3"/>
  <c r="P196" i="3"/>
  <c r="O196" i="3"/>
  <c r="N196" i="3"/>
  <c r="G196" i="3"/>
  <c r="AR195" i="3"/>
  <c r="AQ195" i="3"/>
  <c r="AM195" i="3"/>
  <c r="AP195" i="3" s="1"/>
  <c r="AL195" i="3"/>
  <c r="AK195" i="3"/>
  <c r="AJ195" i="3"/>
  <c r="W195" i="3"/>
  <c r="V195" i="3"/>
  <c r="U195" i="3"/>
  <c r="T195" i="3"/>
  <c r="S195" i="3"/>
  <c r="R195" i="3"/>
  <c r="Q195" i="3"/>
  <c r="P195" i="3"/>
  <c r="O195" i="3"/>
  <c r="N195" i="3"/>
  <c r="G195" i="3"/>
  <c r="AR194" i="3"/>
  <c r="AQ194" i="3"/>
  <c r="AM194" i="3"/>
  <c r="AP194" i="3" s="1"/>
  <c r="AL194" i="3"/>
  <c r="AK194" i="3"/>
  <c r="AJ194" i="3"/>
  <c r="W194" i="3"/>
  <c r="V194" i="3"/>
  <c r="U194" i="3"/>
  <c r="T194" i="3"/>
  <c r="S194" i="3"/>
  <c r="R194" i="3"/>
  <c r="Q194" i="3"/>
  <c r="P194" i="3"/>
  <c r="O194" i="3"/>
  <c r="N194" i="3"/>
  <c r="G194" i="3"/>
  <c r="AR193" i="3"/>
  <c r="AQ193" i="3"/>
  <c r="AM193" i="3"/>
  <c r="AP193" i="3" s="1"/>
  <c r="AL193" i="3"/>
  <c r="AK193" i="3"/>
  <c r="AJ193" i="3"/>
  <c r="W193" i="3"/>
  <c r="V193" i="3"/>
  <c r="U193" i="3"/>
  <c r="T193" i="3"/>
  <c r="S193" i="3"/>
  <c r="R193" i="3"/>
  <c r="Q193" i="3"/>
  <c r="P193" i="3"/>
  <c r="O193" i="3"/>
  <c r="N193" i="3"/>
  <c r="G193" i="3"/>
  <c r="AR192" i="3"/>
  <c r="AQ192" i="3"/>
  <c r="AM192" i="3"/>
  <c r="AP192" i="3" s="1"/>
  <c r="AL192" i="3"/>
  <c r="AK192" i="3"/>
  <c r="AJ192" i="3"/>
  <c r="W192" i="3"/>
  <c r="V192" i="3"/>
  <c r="U192" i="3"/>
  <c r="T192" i="3"/>
  <c r="S192" i="3"/>
  <c r="R192" i="3"/>
  <c r="Q192" i="3"/>
  <c r="P192" i="3"/>
  <c r="O192" i="3"/>
  <c r="N192" i="3"/>
  <c r="G192" i="3"/>
  <c r="AR191" i="3"/>
  <c r="AQ191" i="3"/>
  <c r="AM191" i="3"/>
  <c r="AP191" i="3" s="1"/>
  <c r="AL191" i="3"/>
  <c r="AK191" i="3"/>
  <c r="AJ191" i="3"/>
  <c r="W191" i="3"/>
  <c r="V191" i="3"/>
  <c r="U191" i="3"/>
  <c r="T191" i="3"/>
  <c r="S191" i="3"/>
  <c r="R191" i="3"/>
  <c r="Q191" i="3"/>
  <c r="P191" i="3"/>
  <c r="O191" i="3"/>
  <c r="N191" i="3"/>
  <c r="G191" i="3"/>
  <c r="AR190" i="3"/>
  <c r="AQ190" i="3"/>
  <c r="AM190" i="3"/>
  <c r="AP190" i="3" s="1"/>
  <c r="AL190" i="3"/>
  <c r="AK190" i="3"/>
  <c r="AJ190" i="3"/>
  <c r="W190" i="3"/>
  <c r="V190" i="3"/>
  <c r="U190" i="3"/>
  <c r="T190" i="3"/>
  <c r="S190" i="3"/>
  <c r="R190" i="3"/>
  <c r="Q190" i="3"/>
  <c r="P190" i="3"/>
  <c r="O190" i="3"/>
  <c r="N190" i="3"/>
  <c r="G190" i="3"/>
  <c r="AR189" i="3"/>
  <c r="AQ189" i="3"/>
  <c r="AM189" i="3"/>
  <c r="AP189" i="3" s="1"/>
  <c r="AL189" i="3"/>
  <c r="AK189" i="3"/>
  <c r="AJ189" i="3"/>
  <c r="W189" i="3"/>
  <c r="V189" i="3"/>
  <c r="U189" i="3"/>
  <c r="T189" i="3"/>
  <c r="S189" i="3"/>
  <c r="R189" i="3"/>
  <c r="Q189" i="3"/>
  <c r="P189" i="3"/>
  <c r="O189" i="3"/>
  <c r="N189" i="3"/>
  <c r="G189" i="3"/>
  <c r="AR188" i="3"/>
  <c r="AQ188" i="3"/>
  <c r="AM188" i="3"/>
  <c r="AP188" i="3" s="1"/>
  <c r="AL188" i="3"/>
  <c r="AK188" i="3"/>
  <c r="AJ188" i="3"/>
  <c r="W188" i="3"/>
  <c r="V188" i="3"/>
  <c r="U188" i="3"/>
  <c r="T188" i="3"/>
  <c r="S188" i="3"/>
  <c r="R188" i="3"/>
  <c r="Q188" i="3"/>
  <c r="P188" i="3"/>
  <c r="O188" i="3"/>
  <c r="N188" i="3"/>
  <c r="G188" i="3"/>
  <c r="AR187" i="3"/>
  <c r="AQ187" i="3"/>
  <c r="AM187" i="3"/>
  <c r="AP187" i="3" s="1"/>
  <c r="AL187" i="3"/>
  <c r="AK187" i="3"/>
  <c r="AJ187" i="3"/>
  <c r="W187" i="3"/>
  <c r="V187" i="3"/>
  <c r="U187" i="3"/>
  <c r="T187" i="3"/>
  <c r="S187" i="3"/>
  <c r="R187" i="3"/>
  <c r="Q187" i="3"/>
  <c r="P187" i="3"/>
  <c r="O187" i="3"/>
  <c r="N187" i="3"/>
  <c r="G187" i="3"/>
  <c r="AR186" i="3"/>
  <c r="AQ186" i="3"/>
  <c r="AM186" i="3"/>
  <c r="AP186" i="3" s="1"/>
  <c r="AL186" i="3"/>
  <c r="AK186" i="3"/>
  <c r="AJ186" i="3"/>
  <c r="W186" i="3"/>
  <c r="V186" i="3"/>
  <c r="U186" i="3"/>
  <c r="T186" i="3"/>
  <c r="S186" i="3"/>
  <c r="R186" i="3"/>
  <c r="Q186" i="3"/>
  <c r="P186" i="3"/>
  <c r="O186" i="3"/>
  <c r="N186" i="3"/>
  <c r="G186" i="3"/>
  <c r="AR185" i="3"/>
  <c r="AQ185" i="3"/>
  <c r="AM185" i="3"/>
  <c r="AP185" i="3" s="1"/>
  <c r="AL185" i="3"/>
  <c r="AK185" i="3"/>
  <c r="AJ185" i="3"/>
  <c r="W185" i="3"/>
  <c r="V185" i="3"/>
  <c r="U185" i="3"/>
  <c r="T185" i="3"/>
  <c r="S185" i="3"/>
  <c r="R185" i="3"/>
  <c r="Q185" i="3"/>
  <c r="P185" i="3"/>
  <c r="O185" i="3"/>
  <c r="N185" i="3"/>
  <c r="G185" i="3"/>
  <c r="AR184" i="3"/>
  <c r="AQ184" i="3"/>
  <c r="AM184" i="3"/>
  <c r="AP184" i="3" s="1"/>
  <c r="AL184" i="3"/>
  <c r="AK184" i="3"/>
  <c r="AJ184" i="3"/>
  <c r="W184" i="3"/>
  <c r="V184" i="3"/>
  <c r="U184" i="3"/>
  <c r="T184" i="3"/>
  <c r="S184" i="3"/>
  <c r="R184" i="3"/>
  <c r="Q184" i="3"/>
  <c r="P184" i="3"/>
  <c r="O184" i="3"/>
  <c r="N184" i="3"/>
  <c r="G184" i="3"/>
  <c r="AR183" i="3"/>
  <c r="AQ183" i="3"/>
  <c r="AM183" i="3"/>
  <c r="AP183" i="3" s="1"/>
  <c r="AL183" i="3"/>
  <c r="AK183" i="3"/>
  <c r="AJ183" i="3"/>
  <c r="W183" i="3"/>
  <c r="V183" i="3"/>
  <c r="U183" i="3"/>
  <c r="T183" i="3"/>
  <c r="S183" i="3"/>
  <c r="R183" i="3"/>
  <c r="Q183" i="3"/>
  <c r="P183" i="3"/>
  <c r="O183" i="3"/>
  <c r="N183" i="3"/>
  <c r="G183" i="3"/>
  <c r="AR182" i="3"/>
  <c r="AQ182" i="3"/>
  <c r="AM182" i="3"/>
  <c r="AP182" i="3" s="1"/>
  <c r="AL182" i="3"/>
  <c r="AK182" i="3"/>
  <c r="AJ182" i="3"/>
  <c r="W182" i="3"/>
  <c r="V182" i="3"/>
  <c r="U182" i="3"/>
  <c r="T182" i="3"/>
  <c r="S182" i="3"/>
  <c r="R182" i="3"/>
  <c r="Q182" i="3"/>
  <c r="P182" i="3"/>
  <c r="O182" i="3"/>
  <c r="N182" i="3"/>
  <c r="G182" i="3"/>
  <c r="AR181" i="3"/>
  <c r="AQ181" i="3"/>
  <c r="AM181" i="3"/>
  <c r="AP181" i="3" s="1"/>
  <c r="AL181" i="3"/>
  <c r="AK181" i="3"/>
  <c r="AJ181" i="3"/>
  <c r="W181" i="3"/>
  <c r="V181" i="3"/>
  <c r="U181" i="3"/>
  <c r="T181" i="3"/>
  <c r="S181" i="3"/>
  <c r="R181" i="3"/>
  <c r="Q181" i="3"/>
  <c r="P181" i="3"/>
  <c r="O181" i="3"/>
  <c r="N181" i="3"/>
  <c r="G181" i="3"/>
  <c r="AR180" i="3"/>
  <c r="AQ180" i="3"/>
  <c r="AM180" i="3"/>
  <c r="AP180" i="3" s="1"/>
  <c r="AL180" i="3"/>
  <c r="AK180" i="3"/>
  <c r="AJ180" i="3"/>
  <c r="W180" i="3"/>
  <c r="V180" i="3"/>
  <c r="U180" i="3"/>
  <c r="T180" i="3"/>
  <c r="S180" i="3"/>
  <c r="R180" i="3"/>
  <c r="Q180" i="3"/>
  <c r="P180" i="3"/>
  <c r="O180" i="3"/>
  <c r="N180" i="3"/>
  <c r="G180" i="3"/>
  <c r="AR179" i="3"/>
  <c r="AQ179" i="3"/>
  <c r="AM179" i="3"/>
  <c r="AP179" i="3" s="1"/>
  <c r="AL179" i="3"/>
  <c r="AK179" i="3"/>
  <c r="AJ179" i="3"/>
  <c r="W179" i="3"/>
  <c r="V179" i="3"/>
  <c r="U179" i="3"/>
  <c r="T179" i="3"/>
  <c r="S179" i="3"/>
  <c r="R179" i="3"/>
  <c r="Q179" i="3"/>
  <c r="P179" i="3"/>
  <c r="O179" i="3"/>
  <c r="N179" i="3"/>
  <c r="G179" i="3"/>
  <c r="AR178" i="3"/>
  <c r="AQ178" i="3"/>
  <c r="AM178" i="3"/>
  <c r="AP178" i="3" s="1"/>
  <c r="AL178" i="3"/>
  <c r="AK178" i="3"/>
  <c r="AJ178" i="3"/>
  <c r="W178" i="3"/>
  <c r="V178" i="3"/>
  <c r="U178" i="3"/>
  <c r="T178" i="3"/>
  <c r="S178" i="3"/>
  <c r="R178" i="3"/>
  <c r="Q178" i="3"/>
  <c r="P178" i="3"/>
  <c r="O178" i="3"/>
  <c r="N178" i="3"/>
  <c r="G178" i="3"/>
  <c r="AR177" i="3"/>
  <c r="AQ177" i="3"/>
  <c r="AM177" i="3"/>
  <c r="AP177" i="3" s="1"/>
  <c r="AL177" i="3"/>
  <c r="AK177" i="3"/>
  <c r="AJ177" i="3"/>
  <c r="W177" i="3"/>
  <c r="V177" i="3"/>
  <c r="U177" i="3"/>
  <c r="T177" i="3"/>
  <c r="S177" i="3"/>
  <c r="R177" i="3"/>
  <c r="Q177" i="3"/>
  <c r="P177" i="3"/>
  <c r="O177" i="3"/>
  <c r="N177" i="3"/>
  <c r="G177" i="3"/>
  <c r="AR176" i="3"/>
  <c r="AQ176" i="3"/>
  <c r="AM176" i="3"/>
  <c r="AP176" i="3" s="1"/>
  <c r="AL176" i="3"/>
  <c r="AK176" i="3"/>
  <c r="AJ176" i="3"/>
  <c r="W176" i="3"/>
  <c r="V176" i="3"/>
  <c r="U176" i="3"/>
  <c r="T176" i="3"/>
  <c r="S176" i="3"/>
  <c r="R176" i="3"/>
  <c r="Q176" i="3"/>
  <c r="P176" i="3"/>
  <c r="O176" i="3"/>
  <c r="N176" i="3"/>
  <c r="G176" i="3"/>
  <c r="AR175" i="3"/>
  <c r="AQ175" i="3"/>
  <c r="AM175" i="3"/>
  <c r="AP175" i="3" s="1"/>
  <c r="AL175" i="3"/>
  <c r="AK175" i="3"/>
  <c r="AJ175" i="3"/>
  <c r="W175" i="3"/>
  <c r="V175" i="3"/>
  <c r="U175" i="3"/>
  <c r="T175" i="3"/>
  <c r="S175" i="3"/>
  <c r="R175" i="3"/>
  <c r="Q175" i="3"/>
  <c r="P175" i="3"/>
  <c r="O175" i="3"/>
  <c r="N175" i="3"/>
  <c r="G175" i="3"/>
  <c r="AR174" i="3"/>
  <c r="AQ174" i="3"/>
  <c r="AM174" i="3"/>
  <c r="AP174" i="3" s="1"/>
  <c r="AL174" i="3"/>
  <c r="AK174" i="3"/>
  <c r="AJ174" i="3"/>
  <c r="W174" i="3"/>
  <c r="V174" i="3"/>
  <c r="U174" i="3"/>
  <c r="T174" i="3"/>
  <c r="S174" i="3"/>
  <c r="R174" i="3"/>
  <c r="Q174" i="3"/>
  <c r="P174" i="3"/>
  <c r="O174" i="3"/>
  <c r="N174" i="3"/>
  <c r="G174" i="3"/>
  <c r="AR173" i="3"/>
  <c r="AQ173" i="3"/>
  <c r="AM173" i="3"/>
  <c r="AP173" i="3" s="1"/>
  <c r="AL173" i="3"/>
  <c r="AK173" i="3"/>
  <c r="AJ173" i="3"/>
  <c r="W173" i="3"/>
  <c r="V173" i="3"/>
  <c r="U173" i="3"/>
  <c r="T173" i="3"/>
  <c r="S173" i="3"/>
  <c r="R173" i="3"/>
  <c r="Q173" i="3"/>
  <c r="P173" i="3"/>
  <c r="O173" i="3"/>
  <c r="N173" i="3"/>
  <c r="G173" i="3"/>
  <c r="AR172" i="3"/>
  <c r="AQ172" i="3"/>
  <c r="AM172" i="3"/>
  <c r="AP172" i="3" s="1"/>
  <c r="AL172" i="3"/>
  <c r="AK172" i="3"/>
  <c r="AJ172" i="3"/>
  <c r="W172" i="3"/>
  <c r="V172" i="3"/>
  <c r="U172" i="3"/>
  <c r="T172" i="3"/>
  <c r="S172" i="3"/>
  <c r="R172" i="3"/>
  <c r="Q172" i="3"/>
  <c r="P172" i="3"/>
  <c r="O172" i="3"/>
  <c r="N172" i="3"/>
  <c r="G172" i="3"/>
  <c r="AR171" i="3"/>
  <c r="AQ171" i="3"/>
  <c r="AM171" i="3"/>
  <c r="AP171" i="3" s="1"/>
  <c r="AL171" i="3"/>
  <c r="AK171" i="3"/>
  <c r="AJ171" i="3"/>
  <c r="W171" i="3"/>
  <c r="V171" i="3"/>
  <c r="U171" i="3"/>
  <c r="T171" i="3"/>
  <c r="S171" i="3"/>
  <c r="R171" i="3"/>
  <c r="Q171" i="3"/>
  <c r="P171" i="3"/>
  <c r="O171" i="3"/>
  <c r="N171" i="3"/>
  <c r="G171" i="3"/>
  <c r="AR170" i="3"/>
  <c r="AQ170" i="3"/>
  <c r="AM170" i="3"/>
  <c r="AP170" i="3" s="1"/>
  <c r="AL170" i="3"/>
  <c r="AK170" i="3"/>
  <c r="AJ170" i="3"/>
  <c r="W170" i="3"/>
  <c r="V170" i="3"/>
  <c r="U170" i="3"/>
  <c r="T170" i="3"/>
  <c r="S170" i="3"/>
  <c r="R170" i="3"/>
  <c r="Q170" i="3"/>
  <c r="P170" i="3"/>
  <c r="O170" i="3"/>
  <c r="N170" i="3"/>
  <c r="G170" i="3"/>
  <c r="AR169" i="3"/>
  <c r="AQ169" i="3"/>
  <c r="AM169" i="3"/>
  <c r="AP169" i="3" s="1"/>
  <c r="AL169" i="3"/>
  <c r="AK169" i="3"/>
  <c r="AJ169" i="3"/>
  <c r="W169" i="3"/>
  <c r="V169" i="3"/>
  <c r="U169" i="3"/>
  <c r="T169" i="3"/>
  <c r="S169" i="3"/>
  <c r="R169" i="3"/>
  <c r="Q169" i="3"/>
  <c r="P169" i="3"/>
  <c r="O169" i="3"/>
  <c r="N169" i="3"/>
  <c r="G169" i="3"/>
  <c r="AR168" i="3"/>
  <c r="AQ168" i="3"/>
  <c r="AM168" i="3"/>
  <c r="AP168" i="3" s="1"/>
  <c r="AL168" i="3"/>
  <c r="AK168" i="3"/>
  <c r="AJ168" i="3"/>
  <c r="W168" i="3"/>
  <c r="V168" i="3"/>
  <c r="U168" i="3"/>
  <c r="T168" i="3"/>
  <c r="S168" i="3"/>
  <c r="R168" i="3"/>
  <c r="Q168" i="3"/>
  <c r="P168" i="3"/>
  <c r="O168" i="3"/>
  <c r="N168" i="3"/>
  <c r="G168" i="3"/>
  <c r="AR167" i="3"/>
  <c r="AQ167" i="3"/>
  <c r="AM167" i="3"/>
  <c r="AP167" i="3" s="1"/>
  <c r="AL167" i="3"/>
  <c r="AK167" i="3"/>
  <c r="AJ167" i="3"/>
  <c r="W167" i="3"/>
  <c r="V167" i="3"/>
  <c r="U167" i="3"/>
  <c r="T167" i="3"/>
  <c r="S167" i="3"/>
  <c r="R167" i="3"/>
  <c r="Q167" i="3"/>
  <c r="P167" i="3"/>
  <c r="O167" i="3"/>
  <c r="N167" i="3"/>
  <c r="G167" i="3"/>
  <c r="AR166" i="3"/>
  <c r="AQ166" i="3"/>
  <c r="AM166" i="3"/>
  <c r="AP166" i="3" s="1"/>
  <c r="AL166" i="3"/>
  <c r="AK166" i="3"/>
  <c r="AJ166" i="3"/>
  <c r="W166" i="3"/>
  <c r="V166" i="3"/>
  <c r="U166" i="3"/>
  <c r="T166" i="3"/>
  <c r="S166" i="3"/>
  <c r="R166" i="3"/>
  <c r="Q166" i="3"/>
  <c r="P166" i="3"/>
  <c r="O166" i="3"/>
  <c r="N166" i="3"/>
  <c r="G166" i="3"/>
  <c r="AR165" i="3"/>
  <c r="AQ165" i="3"/>
  <c r="AM165" i="3"/>
  <c r="AP165" i="3" s="1"/>
  <c r="AL165" i="3"/>
  <c r="AK165" i="3"/>
  <c r="AJ165" i="3"/>
  <c r="W165" i="3"/>
  <c r="V165" i="3"/>
  <c r="U165" i="3"/>
  <c r="T165" i="3"/>
  <c r="S165" i="3"/>
  <c r="R165" i="3"/>
  <c r="Q165" i="3"/>
  <c r="P165" i="3"/>
  <c r="O165" i="3"/>
  <c r="N165" i="3"/>
  <c r="G165" i="3"/>
  <c r="AR164" i="3"/>
  <c r="AQ164" i="3"/>
  <c r="AM164" i="3"/>
  <c r="AP164" i="3" s="1"/>
  <c r="AL164" i="3"/>
  <c r="AK164" i="3"/>
  <c r="AJ164" i="3"/>
  <c r="W164" i="3"/>
  <c r="V164" i="3"/>
  <c r="U164" i="3"/>
  <c r="T164" i="3"/>
  <c r="S164" i="3"/>
  <c r="R164" i="3"/>
  <c r="Q164" i="3"/>
  <c r="P164" i="3"/>
  <c r="O164" i="3"/>
  <c r="N164" i="3"/>
  <c r="G164" i="3"/>
  <c r="AR163" i="3"/>
  <c r="AQ163" i="3"/>
  <c r="AM163" i="3"/>
  <c r="AP163" i="3" s="1"/>
  <c r="AL163" i="3"/>
  <c r="AK163" i="3"/>
  <c r="AJ163" i="3"/>
  <c r="W163" i="3"/>
  <c r="V163" i="3"/>
  <c r="U163" i="3"/>
  <c r="T163" i="3"/>
  <c r="S163" i="3"/>
  <c r="R163" i="3"/>
  <c r="Q163" i="3"/>
  <c r="P163" i="3"/>
  <c r="O163" i="3"/>
  <c r="N163" i="3"/>
  <c r="G163" i="3"/>
  <c r="AR162" i="3"/>
  <c r="AQ162" i="3"/>
  <c r="AM162" i="3"/>
  <c r="AP162" i="3" s="1"/>
  <c r="AL162" i="3"/>
  <c r="AK162" i="3"/>
  <c r="AJ162" i="3"/>
  <c r="W162" i="3"/>
  <c r="V162" i="3"/>
  <c r="U162" i="3"/>
  <c r="T162" i="3"/>
  <c r="S162" i="3"/>
  <c r="R162" i="3"/>
  <c r="Q162" i="3"/>
  <c r="P162" i="3"/>
  <c r="O162" i="3"/>
  <c r="N162" i="3"/>
  <c r="G162" i="3"/>
  <c r="AR161" i="3"/>
  <c r="AQ161" i="3"/>
  <c r="AM161" i="3"/>
  <c r="AP161" i="3" s="1"/>
  <c r="AL161" i="3"/>
  <c r="AK161" i="3"/>
  <c r="AJ161" i="3"/>
  <c r="W161" i="3"/>
  <c r="V161" i="3"/>
  <c r="U161" i="3"/>
  <c r="T161" i="3"/>
  <c r="S161" i="3"/>
  <c r="R161" i="3"/>
  <c r="Q161" i="3"/>
  <c r="P161" i="3"/>
  <c r="O161" i="3"/>
  <c r="N161" i="3"/>
  <c r="G161" i="3"/>
  <c r="AR160" i="3"/>
  <c r="AQ160" i="3"/>
  <c r="AM160" i="3"/>
  <c r="AP160" i="3" s="1"/>
  <c r="AL160" i="3"/>
  <c r="AK160" i="3"/>
  <c r="AJ160" i="3"/>
  <c r="W160" i="3"/>
  <c r="V160" i="3"/>
  <c r="U160" i="3"/>
  <c r="T160" i="3"/>
  <c r="S160" i="3"/>
  <c r="R160" i="3"/>
  <c r="Q160" i="3"/>
  <c r="P160" i="3"/>
  <c r="O160" i="3"/>
  <c r="N160" i="3"/>
  <c r="G160" i="3"/>
  <c r="AR159" i="3"/>
  <c r="AQ159" i="3"/>
  <c r="AM159" i="3"/>
  <c r="AP159" i="3" s="1"/>
  <c r="AL159" i="3"/>
  <c r="AK159" i="3"/>
  <c r="AJ159" i="3"/>
  <c r="W159" i="3"/>
  <c r="V159" i="3"/>
  <c r="U159" i="3"/>
  <c r="T159" i="3"/>
  <c r="S159" i="3"/>
  <c r="R159" i="3"/>
  <c r="Q159" i="3"/>
  <c r="P159" i="3"/>
  <c r="O159" i="3"/>
  <c r="N159" i="3"/>
  <c r="G159" i="3"/>
  <c r="AR158" i="3"/>
  <c r="AQ158" i="3"/>
  <c r="AM158" i="3"/>
  <c r="AP158" i="3" s="1"/>
  <c r="AL158" i="3"/>
  <c r="AK158" i="3"/>
  <c r="AJ158" i="3"/>
  <c r="W158" i="3"/>
  <c r="V158" i="3"/>
  <c r="U158" i="3"/>
  <c r="T158" i="3"/>
  <c r="S158" i="3"/>
  <c r="R158" i="3"/>
  <c r="Q158" i="3"/>
  <c r="P158" i="3"/>
  <c r="O158" i="3"/>
  <c r="N158" i="3"/>
  <c r="G158" i="3"/>
  <c r="AR157" i="3"/>
  <c r="AQ157" i="3"/>
  <c r="AM157" i="3"/>
  <c r="AP157" i="3" s="1"/>
  <c r="AL157" i="3"/>
  <c r="AK157" i="3"/>
  <c r="AJ157" i="3"/>
  <c r="W157" i="3"/>
  <c r="V157" i="3"/>
  <c r="U157" i="3"/>
  <c r="T157" i="3"/>
  <c r="S157" i="3"/>
  <c r="R157" i="3"/>
  <c r="Q157" i="3"/>
  <c r="P157" i="3"/>
  <c r="O157" i="3"/>
  <c r="N157" i="3"/>
  <c r="G157" i="3"/>
  <c r="AR156" i="3"/>
  <c r="AQ156" i="3"/>
  <c r="AM156" i="3"/>
  <c r="AP156" i="3" s="1"/>
  <c r="AL156" i="3"/>
  <c r="AK156" i="3"/>
  <c r="AJ156" i="3"/>
  <c r="W156" i="3"/>
  <c r="V156" i="3"/>
  <c r="U156" i="3"/>
  <c r="T156" i="3"/>
  <c r="S156" i="3"/>
  <c r="R156" i="3"/>
  <c r="Q156" i="3"/>
  <c r="P156" i="3"/>
  <c r="O156" i="3"/>
  <c r="N156" i="3"/>
  <c r="G156" i="3"/>
  <c r="AR155" i="3"/>
  <c r="AQ155" i="3"/>
  <c r="AM155" i="3"/>
  <c r="AP155" i="3" s="1"/>
  <c r="AL155" i="3"/>
  <c r="AK155" i="3"/>
  <c r="AJ155" i="3"/>
  <c r="W155" i="3"/>
  <c r="V155" i="3"/>
  <c r="U155" i="3"/>
  <c r="T155" i="3"/>
  <c r="S155" i="3"/>
  <c r="R155" i="3"/>
  <c r="Q155" i="3"/>
  <c r="P155" i="3"/>
  <c r="O155" i="3"/>
  <c r="N155" i="3"/>
  <c r="G155" i="3"/>
  <c r="AR154" i="3"/>
  <c r="AQ154" i="3"/>
  <c r="AM154" i="3"/>
  <c r="AP154" i="3" s="1"/>
  <c r="AL154" i="3"/>
  <c r="AK154" i="3"/>
  <c r="AJ154" i="3"/>
  <c r="W154" i="3"/>
  <c r="V154" i="3"/>
  <c r="U154" i="3"/>
  <c r="T154" i="3"/>
  <c r="S154" i="3"/>
  <c r="R154" i="3"/>
  <c r="Q154" i="3"/>
  <c r="P154" i="3"/>
  <c r="O154" i="3"/>
  <c r="N154" i="3"/>
  <c r="G154" i="3"/>
  <c r="AR153" i="3"/>
  <c r="AQ153" i="3"/>
  <c r="AM153" i="3"/>
  <c r="AP153" i="3" s="1"/>
  <c r="AL153" i="3"/>
  <c r="AK153" i="3"/>
  <c r="AJ153" i="3"/>
  <c r="W153" i="3"/>
  <c r="V153" i="3"/>
  <c r="U153" i="3"/>
  <c r="T153" i="3"/>
  <c r="S153" i="3"/>
  <c r="R153" i="3"/>
  <c r="Q153" i="3"/>
  <c r="P153" i="3"/>
  <c r="O153" i="3"/>
  <c r="N153" i="3"/>
  <c r="G153" i="3"/>
  <c r="AR152" i="3"/>
  <c r="AQ152" i="3"/>
  <c r="AM152" i="3"/>
  <c r="AP152" i="3" s="1"/>
  <c r="AL152" i="3"/>
  <c r="AK152" i="3"/>
  <c r="AJ152" i="3"/>
  <c r="W152" i="3"/>
  <c r="V152" i="3"/>
  <c r="U152" i="3"/>
  <c r="T152" i="3"/>
  <c r="S152" i="3"/>
  <c r="R152" i="3"/>
  <c r="Q152" i="3"/>
  <c r="P152" i="3"/>
  <c r="O152" i="3"/>
  <c r="N152" i="3"/>
  <c r="G152" i="3"/>
  <c r="AR151" i="3"/>
  <c r="AQ151" i="3"/>
  <c r="AM151" i="3"/>
  <c r="AP151" i="3" s="1"/>
  <c r="AL151" i="3"/>
  <c r="AK151" i="3"/>
  <c r="AJ151" i="3"/>
  <c r="W151" i="3"/>
  <c r="V151" i="3"/>
  <c r="U151" i="3"/>
  <c r="T151" i="3"/>
  <c r="S151" i="3"/>
  <c r="R151" i="3"/>
  <c r="Q151" i="3"/>
  <c r="P151" i="3"/>
  <c r="O151" i="3"/>
  <c r="N151" i="3"/>
  <c r="G151" i="3"/>
  <c r="AR150" i="3"/>
  <c r="AQ150" i="3"/>
  <c r="AM150" i="3"/>
  <c r="AP150" i="3" s="1"/>
  <c r="AL150" i="3"/>
  <c r="AK150" i="3"/>
  <c r="AJ150" i="3"/>
  <c r="W150" i="3"/>
  <c r="V150" i="3"/>
  <c r="U150" i="3"/>
  <c r="T150" i="3"/>
  <c r="S150" i="3"/>
  <c r="R150" i="3"/>
  <c r="Q150" i="3"/>
  <c r="P150" i="3"/>
  <c r="O150" i="3"/>
  <c r="N150" i="3"/>
  <c r="G150" i="3"/>
  <c r="AR149" i="3"/>
  <c r="AQ149" i="3"/>
  <c r="AM149" i="3"/>
  <c r="AP149" i="3" s="1"/>
  <c r="AL149" i="3"/>
  <c r="AK149" i="3"/>
  <c r="AJ149" i="3"/>
  <c r="W149" i="3"/>
  <c r="V149" i="3"/>
  <c r="U149" i="3"/>
  <c r="T149" i="3"/>
  <c r="S149" i="3"/>
  <c r="R149" i="3"/>
  <c r="Q149" i="3"/>
  <c r="P149" i="3"/>
  <c r="O149" i="3"/>
  <c r="N149" i="3"/>
  <c r="G149" i="3"/>
  <c r="AR148" i="3"/>
  <c r="AQ148" i="3"/>
  <c r="AM148" i="3"/>
  <c r="AP148" i="3" s="1"/>
  <c r="AL148" i="3"/>
  <c r="AK148" i="3"/>
  <c r="AJ148" i="3"/>
  <c r="W148" i="3"/>
  <c r="V148" i="3"/>
  <c r="U148" i="3"/>
  <c r="T148" i="3"/>
  <c r="S148" i="3"/>
  <c r="R148" i="3"/>
  <c r="Q148" i="3"/>
  <c r="P148" i="3"/>
  <c r="O148" i="3"/>
  <c r="N148" i="3"/>
  <c r="G148" i="3"/>
  <c r="AR147" i="3"/>
  <c r="AQ147" i="3"/>
  <c r="AM147" i="3"/>
  <c r="AP147" i="3" s="1"/>
  <c r="AL147" i="3"/>
  <c r="AK147" i="3"/>
  <c r="AJ147" i="3"/>
  <c r="W147" i="3"/>
  <c r="V147" i="3"/>
  <c r="U147" i="3"/>
  <c r="T147" i="3"/>
  <c r="S147" i="3"/>
  <c r="R147" i="3"/>
  <c r="Q147" i="3"/>
  <c r="P147" i="3"/>
  <c r="O147" i="3"/>
  <c r="N147" i="3"/>
  <c r="G147" i="3"/>
  <c r="AR146" i="3"/>
  <c r="AQ146" i="3"/>
  <c r="AM146" i="3"/>
  <c r="AP146" i="3" s="1"/>
  <c r="AL146" i="3"/>
  <c r="AK146" i="3"/>
  <c r="AJ146" i="3"/>
  <c r="W146" i="3"/>
  <c r="V146" i="3"/>
  <c r="U146" i="3"/>
  <c r="T146" i="3"/>
  <c r="S146" i="3"/>
  <c r="R146" i="3"/>
  <c r="Q146" i="3"/>
  <c r="P146" i="3"/>
  <c r="O146" i="3"/>
  <c r="N146" i="3"/>
  <c r="G146" i="3"/>
  <c r="AR145" i="3"/>
  <c r="AQ145" i="3"/>
  <c r="AM145" i="3"/>
  <c r="AP145" i="3" s="1"/>
  <c r="AL145" i="3"/>
  <c r="AK145" i="3"/>
  <c r="AJ145" i="3"/>
  <c r="W145" i="3"/>
  <c r="V145" i="3"/>
  <c r="U145" i="3"/>
  <c r="T145" i="3"/>
  <c r="S145" i="3"/>
  <c r="R145" i="3"/>
  <c r="Q145" i="3"/>
  <c r="P145" i="3"/>
  <c r="O145" i="3"/>
  <c r="N145" i="3"/>
  <c r="G145" i="3"/>
  <c r="AR144" i="3"/>
  <c r="AQ144" i="3"/>
  <c r="AM144" i="3"/>
  <c r="AP144" i="3" s="1"/>
  <c r="AL144" i="3"/>
  <c r="AK144" i="3"/>
  <c r="AJ144" i="3"/>
  <c r="W144" i="3"/>
  <c r="V144" i="3"/>
  <c r="U144" i="3"/>
  <c r="T144" i="3"/>
  <c r="S144" i="3"/>
  <c r="R144" i="3"/>
  <c r="Q144" i="3"/>
  <c r="P144" i="3"/>
  <c r="O144" i="3"/>
  <c r="N144" i="3"/>
  <c r="G144" i="3"/>
  <c r="AR143" i="3"/>
  <c r="AQ143" i="3"/>
  <c r="AM143" i="3"/>
  <c r="AP143" i="3" s="1"/>
  <c r="AL143" i="3"/>
  <c r="AK143" i="3"/>
  <c r="AJ143" i="3"/>
  <c r="W143" i="3"/>
  <c r="V143" i="3"/>
  <c r="U143" i="3"/>
  <c r="T143" i="3"/>
  <c r="S143" i="3"/>
  <c r="R143" i="3"/>
  <c r="Q143" i="3"/>
  <c r="P143" i="3"/>
  <c r="O143" i="3"/>
  <c r="N143" i="3"/>
  <c r="G143" i="3"/>
  <c r="AR142" i="3"/>
  <c r="AQ142" i="3"/>
  <c r="AM142" i="3"/>
  <c r="AP142" i="3" s="1"/>
  <c r="AL142" i="3"/>
  <c r="AK142" i="3"/>
  <c r="AJ142" i="3"/>
  <c r="W142" i="3"/>
  <c r="V142" i="3"/>
  <c r="U142" i="3"/>
  <c r="T142" i="3"/>
  <c r="S142" i="3"/>
  <c r="R142" i="3"/>
  <c r="Q142" i="3"/>
  <c r="P142" i="3"/>
  <c r="O142" i="3"/>
  <c r="N142" i="3"/>
  <c r="G142" i="3"/>
  <c r="AR141" i="3"/>
  <c r="AQ141" i="3"/>
  <c r="AM141" i="3"/>
  <c r="AP141" i="3" s="1"/>
  <c r="AL141" i="3"/>
  <c r="AK141" i="3"/>
  <c r="AJ141" i="3"/>
  <c r="W141" i="3"/>
  <c r="V141" i="3"/>
  <c r="U141" i="3"/>
  <c r="T141" i="3"/>
  <c r="S141" i="3"/>
  <c r="R141" i="3"/>
  <c r="Q141" i="3"/>
  <c r="P141" i="3"/>
  <c r="O141" i="3"/>
  <c r="N141" i="3"/>
  <c r="G141" i="3"/>
  <c r="AR140" i="3"/>
  <c r="AQ140" i="3"/>
  <c r="AM140" i="3"/>
  <c r="AP140" i="3" s="1"/>
  <c r="AL140" i="3"/>
  <c r="AK140" i="3"/>
  <c r="AJ140" i="3"/>
  <c r="W140" i="3"/>
  <c r="V140" i="3"/>
  <c r="U140" i="3"/>
  <c r="T140" i="3"/>
  <c r="S140" i="3"/>
  <c r="R140" i="3"/>
  <c r="Q140" i="3"/>
  <c r="P140" i="3"/>
  <c r="O140" i="3"/>
  <c r="N140" i="3"/>
  <c r="G140" i="3"/>
  <c r="AR139" i="3"/>
  <c r="AQ139" i="3"/>
  <c r="AM139" i="3"/>
  <c r="AP139" i="3" s="1"/>
  <c r="AL139" i="3"/>
  <c r="AK139" i="3"/>
  <c r="AJ139" i="3"/>
  <c r="W139" i="3"/>
  <c r="V139" i="3"/>
  <c r="U139" i="3"/>
  <c r="T139" i="3"/>
  <c r="S139" i="3"/>
  <c r="R139" i="3"/>
  <c r="Q139" i="3"/>
  <c r="P139" i="3"/>
  <c r="O139" i="3"/>
  <c r="N139" i="3"/>
  <c r="G139" i="3"/>
  <c r="AR138" i="3"/>
  <c r="AQ138" i="3"/>
  <c r="AM138" i="3"/>
  <c r="AP138" i="3" s="1"/>
  <c r="AL138" i="3"/>
  <c r="AK138" i="3"/>
  <c r="AJ138" i="3"/>
  <c r="W138" i="3"/>
  <c r="V138" i="3"/>
  <c r="U138" i="3"/>
  <c r="T138" i="3"/>
  <c r="S138" i="3"/>
  <c r="R138" i="3"/>
  <c r="Q138" i="3"/>
  <c r="P138" i="3"/>
  <c r="O138" i="3"/>
  <c r="N138" i="3"/>
  <c r="G138" i="3"/>
  <c r="AR137" i="3"/>
  <c r="AQ137" i="3"/>
  <c r="AM137" i="3"/>
  <c r="AP137" i="3" s="1"/>
  <c r="AL137" i="3"/>
  <c r="AK137" i="3"/>
  <c r="AJ137" i="3"/>
  <c r="W137" i="3"/>
  <c r="V137" i="3"/>
  <c r="U137" i="3"/>
  <c r="T137" i="3"/>
  <c r="S137" i="3"/>
  <c r="R137" i="3"/>
  <c r="Q137" i="3"/>
  <c r="P137" i="3"/>
  <c r="O137" i="3"/>
  <c r="N137" i="3"/>
  <c r="G137" i="3"/>
  <c r="AR136" i="3"/>
  <c r="AQ136" i="3"/>
  <c r="AM136" i="3"/>
  <c r="AP136" i="3" s="1"/>
  <c r="AL136" i="3"/>
  <c r="AK136" i="3"/>
  <c r="AJ136" i="3"/>
  <c r="W136" i="3"/>
  <c r="V136" i="3"/>
  <c r="U136" i="3"/>
  <c r="T136" i="3"/>
  <c r="S136" i="3"/>
  <c r="R136" i="3"/>
  <c r="Q136" i="3"/>
  <c r="P136" i="3"/>
  <c r="O136" i="3"/>
  <c r="N136" i="3"/>
  <c r="G136" i="3"/>
  <c r="AR135" i="3"/>
  <c r="AQ135" i="3"/>
  <c r="AM135" i="3"/>
  <c r="AP135" i="3" s="1"/>
  <c r="AL135" i="3"/>
  <c r="AK135" i="3"/>
  <c r="AJ135" i="3"/>
  <c r="W135" i="3"/>
  <c r="V135" i="3"/>
  <c r="U135" i="3"/>
  <c r="T135" i="3"/>
  <c r="S135" i="3"/>
  <c r="R135" i="3"/>
  <c r="Q135" i="3"/>
  <c r="P135" i="3"/>
  <c r="O135" i="3"/>
  <c r="N135" i="3"/>
  <c r="G135" i="3"/>
  <c r="AR134" i="3"/>
  <c r="AQ134" i="3"/>
  <c r="AM134" i="3"/>
  <c r="AP134" i="3" s="1"/>
  <c r="AL134" i="3"/>
  <c r="AK134" i="3"/>
  <c r="AJ134" i="3"/>
  <c r="W134" i="3"/>
  <c r="V134" i="3"/>
  <c r="U134" i="3"/>
  <c r="T134" i="3"/>
  <c r="S134" i="3"/>
  <c r="R134" i="3"/>
  <c r="Q134" i="3"/>
  <c r="P134" i="3"/>
  <c r="O134" i="3"/>
  <c r="N134" i="3"/>
  <c r="G134" i="3"/>
  <c r="AR133" i="3"/>
  <c r="AQ133" i="3"/>
  <c r="AM133" i="3"/>
  <c r="AP133" i="3" s="1"/>
  <c r="AL133" i="3"/>
  <c r="AK133" i="3"/>
  <c r="AJ133" i="3"/>
  <c r="W133" i="3"/>
  <c r="V133" i="3"/>
  <c r="U133" i="3"/>
  <c r="T133" i="3"/>
  <c r="S133" i="3"/>
  <c r="R133" i="3"/>
  <c r="Q133" i="3"/>
  <c r="P133" i="3"/>
  <c r="O133" i="3"/>
  <c r="N133" i="3"/>
  <c r="G133" i="3"/>
  <c r="AR132" i="3"/>
  <c r="AQ132" i="3"/>
  <c r="AM132" i="3"/>
  <c r="AP132" i="3" s="1"/>
  <c r="AL132" i="3"/>
  <c r="AK132" i="3"/>
  <c r="AJ132" i="3"/>
  <c r="W132" i="3"/>
  <c r="V132" i="3"/>
  <c r="U132" i="3"/>
  <c r="T132" i="3"/>
  <c r="S132" i="3"/>
  <c r="R132" i="3"/>
  <c r="Q132" i="3"/>
  <c r="P132" i="3"/>
  <c r="O132" i="3"/>
  <c r="N132" i="3"/>
  <c r="G132" i="3"/>
  <c r="AR131" i="3"/>
  <c r="AQ131" i="3"/>
  <c r="AM131" i="3"/>
  <c r="AP131" i="3" s="1"/>
  <c r="AL131" i="3"/>
  <c r="AK131" i="3"/>
  <c r="AJ131" i="3"/>
  <c r="W131" i="3"/>
  <c r="V131" i="3"/>
  <c r="U131" i="3"/>
  <c r="T131" i="3"/>
  <c r="S131" i="3"/>
  <c r="R131" i="3"/>
  <c r="Q131" i="3"/>
  <c r="P131" i="3"/>
  <c r="O131" i="3"/>
  <c r="N131" i="3"/>
  <c r="G131" i="3"/>
  <c r="AR130" i="3"/>
  <c r="AQ130" i="3"/>
  <c r="AM130" i="3"/>
  <c r="AP130" i="3" s="1"/>
  <c r="AL130" i="3"/>
  <c r="AK130" i="3"/>
  <c r="AJ130" i="3"/>
  <c r="W130" i="3"/>
  <c r="V130" i="3"/>
  <c r="U130" i="3"/>
  <c r="T130" i="3"/>
  <c r="S130" i="3"/>
  <c r="R130" i="3"/>
  <c r="Q130" i="3"/>
  <c r="P130" i="3"/>
  <c r="O130" i="3"/>
  <c r="N130" i="3"/>
  <c r="G130" i="3"/>
  <c r="AR129" i="3"/>
  <c r="AQ129" i="3"/>
  <c r="AM129" i="3"/>
  <c r="AP129" i="3" s="1"/>
  <c r="AL129" i="3"/>
  <c r="AK129" i="3"/>
  <c r="AJ129" i="3"/>
  <c r="W129" i="3"/>
  <c r="V129" i="3"/>
  <c r="U129" i="3"/>
  <c r="T129" i="3"/>
  <c r="S129" i="3"/>
  <c r="R129" i="3"/>
  <c r="Q129" i="3"/>
  <c r="P129" i="3"/>
  <c r="O129" i="3"/>
  <c r="N129" i="3"/>
  <c r="G129" i="3"/>
  <c r="AR128" i="3"/>
  <c r="AQ128" i="3"/>
  <c r="AM128" i="3"/>
  <c r="AP128" i="3" s="1"/>
  <c r="AL128" i="3"/>
  <c r="AK128" i="3"/>
  <c r="AJ128" i="3"/>
  <c r="W128" i="3"/>
  <c r="V128" i="3"/>
  <c r="U128" i="3"/>
  <c r="T128" i="3"/>
  <c r="S128" i="3"/>
  <c r="R128" i="3"/>
  <c r="Q128" i="3"/>
  <c r="P128" i="3"/>
  <c r="O128" i="3"/>
  <c r="N128" i="3"/>
  <c r="G128" i="3"/>
  <c r="AR127" i="3"/>
  <c r="AQ127" i="3"/>
  <c r="AM127" i="3"/>
  <c r="AP127" i="3" s="1"/>
  <c r="AL127" i="3"/>
  <c r="AK127" i="3"/>
  <c r="AJ127" i="3"/>
  <c r="W127" i="3"/>
  <c r="V127" i="3"/>
  <c r="U127" i="3"/>
  <c r="T127" i="3"/>
  <c r="S127" i="3"/>
  <c r="R127" i="3"/>
  <c r="Q127" i="3"/>
  <c r="P127" i="3"/>
  <c r="O127" i="3"/>
  <c r="N127" i="3"/>
  <c r="G127" i="3"/>
  <c r="AR126" i="3"/>
  <c r="AQ126" i="3"/>
  <c r="AM126" i="3"/>
  <c r="AP126" i="3" s="1"/>
  <c r="AL126" i="3"/>
  <c r="AK126" i="3"/>
  <c r="AJ126" i="3"/>
  <c r="W126" i="3"/>
  <c r="V126" i="3"/>
  <c r="U126" i="3"/>
  <c r="T126" i="3"/>
  <c r="S126" i="3"/>
  <c r="R126" i="3"/>
  <c r="Q126" i="3"/>
  <c r="P126" i="3"/>
  <c r="O126" i="3"/>
  <c r="N126" i="3"/>
  <c r="G126" i="3"/>
  <c r="AR125" i="3"/>
  <c r="AQ125" i="3"/>
  <c r="AM125" i="3"/>
  <c r="AP125" i="3" s="1"/>
  <c r="AL125" i="3"/>
  <c r="AK125" i="3"/>
  <c r="AJ125" i="3"/>
  <c r="W125" i="3"/>
  <c r="V125" i="3"/>
  <c r="U125" i="3"/>
  <c r="T125" i="3"/>
  <c r="S125" i="3"/>
  <c r="R125" i="3"/>
  <c r="Q125" i="3"/>
  <c r="P125" i="3"/>
  <c r="O125" i="3"/>
  <c r="N125" i="3"/>
  <c r="G125" i="3"/>
  <c r="AR124" i="3"/>
  <c r="AQ124" i="3"/>
  <c r="AM124" i="3"/>
  <c r="AP124" i="3" s="1"/>
  <c r="AL124" i="3"/>
  <c r="AK124" i="3"/>
  <c r="AJ124" i="3"/>
  <c r="W124" i="3"/>
  <c r="V124" i="3"/>
  <c r="U124" i="3"/>
  <c r="T124" i="3"/>
  <c r="S124" i="3"/>
  <c r="R124" i="3"/>
  <c r="Q124" i="3"/>
  <c r="P124" i="3"/>
  <c r="O124" i="3"/>
  <c r="N124" i="3"/>
  <c r="G124" i="3"/>
  <c r="AR123" i="3"/>
  <c r="AQ123" i="3"/>
  <c r="AM123" i="3"/>
  <c r="AP123" i="3" s="1"/>
  <c r="AL123" i="3"/>
  <c r="AK123" i="3"/>
  <c r="AJ123" i="3"/>
  <c r="W123" i="3"/>
  <c r="V123" i="3"/>
  <c r="U123" i="3"/>
  <c r="T123" i="3"/>
  <c r="S123" i="3"/>
  <c r="R123" i="3"/>
  <c r="Q123" i="3"/>
  <c r="P123" i="3"/>
  <c r="O123" i="3"/>
  <c r="N123" i="3"/>
  <c r="G123" i="3"/>
  <c r="AR122" i="3"/>
  <c r="AQ122" i="3"/>
  <c r="AM122" i="3"/>
  <c r="AP122" i="3" s="1"/>
  <c r="AL122" i="3"/>
  <c r="AK122" i="3"/>
  <c r="AJ122" i="3"/>
  <c r="W122" i="3"/>
  <c r="V122" i="3"/>
  <c r="U122" i="3"/>
  <c r="T122" i="3"/>
  <c r="S122" i="3"/>
  <c r="R122" i="3"/>
  <c r="Q122" i="3"/>
  <c r="P122" i="3"/>
  <c r="O122" i="3"/>
  <c r="N122" i="3"/>
  <c r="G122" i="3"/>
  <c r="AR121" i="3"/>
  <c r="AQ121" i="3"/>
  <c r="AM121" i="3"/>
  <c r="AP121" i="3" s="1"/>
  <c r="AL121" i="3"/>
  <c r="AK121" i="3"/>
  <c r="AJ121" i="3"/>
  <c r="W121" i="3"/>
  <c r="V121" i="3"/>
  <c r="U121" i="3"/>
  <c r="T121" i="3"/>
  <c r="S121" i="3"/>
  <c r="R121" i="3"/>
  <c r="Q121" i="3"/>
  <c r="P121" i="3"/>
  <c r="O121" i="3"/>
  <c r="N121" i="3"/>
  <c r="G121" i="3"/>
  <c r="AR120" i="3"/>
  <c r="AQ120" i="3"/>
  <c r="AM120" i="3"/>
  <c r="AP120" i="3" s="1"/>
  <c r="AL120" i="3"/>
  <c r="AK120" i="3"/>
  <c r="AJ120" i="3"/>
  <c r="W120" i="3"/>
  <c r="V120" i="3"/>
  <c r="U120" i="3"/>
  <c r="T120" i="3"/>
  <c r="S120" i="3"/>
  <c r="R120" i="3"/>
  <c r="Q120" i="3"/>
  <c r="P120" i="3"/>
  <c r="O120" i="3"/>
  <c r="N120" i="3"/>
  <c r="G120" i="3"/>
  <c r="AR119" i="3"/>
  <c r="AQ119" i="3"/>
  <c r="AM119" i="3"/>
  <c r="AP119" i="3" s="1"/>
  <c r="AL119" i="3"/>
  <c r="AK119" i="3"/>
  <c r="AJ119" i="3"/>
  <c r="W119" i="3"/>
  <c r="V119" i="3"/>
  <c r="U119" i="3"/>
  <c r="T119" i="3"/>
  <c r="S119" i="3"/>
  <c r="R119" i="3"/>
  <c r="Q119" i="3"/>
  <c r="P119" i="3"/>
  <c r="O119" i="3"/>
  <c r="N119" i="3"/>
  <c r="G119" i="3"/>
  <c r="AR118" i="3"/>
  <c r="AQ118" i="3"/>
  <c r="AR117" i="3"/>
  <c r="AQ117" i="3"/>
  <c r="AR116" i="3"/>
  <c r="AQ116" i="3"/>
  <c r="AR115" i="3"/>
  <c r="AQ115" i="3"/>
  <c r="AR114" i="3"/>
  <c r="AQ114" i="3"/>
  <c r="AR113" i="3"/>
  <c r="AQ113" i="3"/>
  <c r="AR112" i="3"/>
  <c r="AQ112" i="3"/>
  <c r="AR111" i="3"/>
  <c r="AQ111" i="3"/>
  <c r="AR110" i="3"/>
  <c r="AQ110" i="3"/>
  <c r="AR109" i="3"/>
  <c r="AQ109" i="3"/>
  <c r="AR108" i="3"/>
  <c r="AQ108" i="3"/>
  <c r="AR107" i="3"/>
  <c r="AQ107" i="3"/>
  <c r="AR106" i="3"/>
  <c r="AQ106" i="3"/>
  <c r="AR105" i="3"/>
  <c r="AQ105" i="3"/>
  <c r="AR104" i="3"/>
  <c r="AQ104" i="3"/>
  <c r="AR103" i="3"/>
  <c r="AQ103" i="3"/>
  <c r="AR102" i="3"/>
  <c r="AQ102" i="3"/>
  <c r="AR101" i="3"/>
  <c r="AQ101" i="3"/>
  <c r="AR100" i="3"/>
  <c r="AQ100" i="3"/>
  <c r="AR99" i="3"/>
  <c r="AQ99" i="3"/>
  <c r="AR98" i="3"/>
  <c r="AQ98" i="3"/>
  <c r="AR97" i="3"/>
  <c r="AQ97" i="3"/>
  <c r="AR96" i="3"/>
  <c r="AQ96" i="3"/>
  <c r="AR95" i="3"/>
  <c r="AQ95" i="3"/>
  <c r="AR94" i="3"/>
  <c r="AQ94" i="3"/>
  <c r="AR93" i="3"/>
  <c r="AQ93" i="3"/>
  <c r="AR92" i="3"/>
  <c r="AQ92" i="3"/>
  <c r="AR91" i="3"/>
  <c r="AQ91" i="3"/>
  <c r="AR90" i="3"/>
  <c r="AQ90" i="3"/>
  <c r="AR89" i="3"/>
  <c r="AQ89" i="3"/>
  <c r="AR88" i="3"/>
  <c r="AQ88" i="3"/>
  <c r="AR87" i="3"/>
  <c r="AQ87" i="3"/>
  <c r="AR86" i="3"/>
  <c r="AQ86" i="3"/>
  <c r="AR85" i="3"/>
  <c r="AQ85" i="3"/>
  <c r="AR84" i="3"/>
  <c r="AQ84" i="3"/>
  <c r="AR83" i="3"/>
  <c r="AQ83" i="3"/>
  <c r="AR82" i="3"/>
  <c r="AQ82" i="3"/>
  <c r="AR81" i="3"/>
  <c r="AQ81" i="3"/>
  <c r="AR80" i="3"/>
  <c r="AQ80" i="3"/>
  <c r="AR79" i="3"/>
  <c r="AQ79" i="3"/>
  <c r="AR78" i="3"/>
  <c r="AQ78" i="3"/>
  <c r="AR77" i="3"/>
  <c r="AQ77" i="3"/>
  <c r="AR76" i="3"/>
  <c r="AQ76" i="3"/>
  <c r="AR75" i="3"/>
  <c r="AQ75" i="3"/>
  <c r="AR74" i="3"/>
  <c r="AQ74" i="3"/>
  <c r="AR73" i="3"/>
  <c r="AQ73" i="3"/>
  <c r="AR72" i="3"/>
  <c r="AQ72" i="3"/>
  <c r="AR71" i="3"/>
  <c r="AQ71" i="3"/>
  <c r="AR70" i="3"/>
  <c r="AQ70" i="3"/>
  <c r="AR69" i="3"/>
  <c r="AQ69" i="3"/>
  <c r="AR68" i="3"/>
  <c r="AQ68" i="3"/>
  <c r="AR67" i="3"/>
  <c r="AQ67" i="3"/>
  <c r="AR66" i="3"/>
  <c r="AQ66" i="3"/>
  <c r="AR65" i="3"/>
  <c r="AQ65" i="3"/>
  <c r="AR64" i="3"/>
  <c r="AQ64" i="3"/>
  <c r="AR63" i="3"/>
  <c r="AQ63" i="3"/>
  <c r="AR62" i="3"/>
  <c r="AQ62" i="3"/>
  <c r="AR61" i="3"/>
  <c r="AQ61" i="3"/>
  <c r="AR60" i="3"/>
  <c r="AQ60" i="3"/>
  <c r="AR59" i="3"/>
  <c r="AQ59" i="3"/>
  <c r="AR58" i="3"/>
  <c r="AQ58" i="3"/>
  <c r="AR57" i="3"/>
  <c r="AQ57" i="3"/>
  <c r="AR56" i="3"/>
  <c r="AQ56" i="3"/>
  <c r="AR55" i="3"/>
  <c r="AQ55" i="3"/>
  <c r="AR54" i="3"/>
  <c r="AQ54" i="3"/>
  <c r="AR53" i="3"/>
  <c r="AQ53" i="3"/>
  <c r="AR52" i="3"/>
  <c r="AQ52" i="3"/>
  <c r="AR51" i="3"/>
  <c r="AQ51" i="3"/>
  <c r="AR50" i="3"/>
  <c r="AQ50" i="3"/>
  <c r="AR49" i="3"/>
  <c r="AQ49" i="3"/>
  <c r="AR48" i="3"/>
  <c r="AQ48" i="3"/>
  <c r="AR47" i="3"/>
  <c r="AQ47" i="3"/>
  <c r="AR46" i="3"/>
  <c r="AQ46" i="3"/>
  <c r="AR45" i="3"/>
  <c r="AQ45" i="3"/>
  <c r="AR44" i="3"/>
  <c r="AQ44" i="3"/>
  <c r="AR43" i="3"/>
  <c r="AQ43" i="3"/>
  <c r="AR42" i="3"/>
  <c r="AQ42" i="3"/>
  <c r="AR41" i="3"/>
  <c r="AQ41" i="3"/>
  <c r="AR40" i="3"/>
  <c r="AQ40" i="3"/>
  <c r="AR39" i="3"/>
  <c r="AQ39" i="3"/>
  <c r="AR38" i="3"/>
  <c r="AQ38" i="3"/>
  <c r="AR37" i="3"/>
  <c r="AQ37" i="3"/>
  <c r="AR36" i="3"/>
  <c r="AQ36" i="3"/>
  <c r="AR35" i="3"/>
  <c r="AQ35" i="3"/>
  <c r="AR34" i="3"/>
  <c r="AQ34" i="3"/>
  <c r="AR33" i="3"/>
  <c r="AQ33" i="3"/>
  <c r="AR32" i="3"/>
  <c r="AQ32" i="3"/>
  <c r="AR31" i="3"/>
  <c r="AQ31" i="3"/>
  <c r="AR30" i="3"/>
  <c r="AQ30" i="3"/>
  <c r="AR29" i="3"/>
  <c r="AQ29" i="3"/>
  <c r="AR28" i="3"/>
  <c r="AQ28" i="3"/>
  <c r="AR27" i="3"/>
  <c r="AQ27" i="3"/>
  <c r="G27" i="3"/>
  <c r="AR26" i="3"/>
  <c r="AQ26" i="3"/>
  <c r="L26" i="3"/>
  <c r="J26" i="3"/>
  <c r="I26" i="3"/>
  <c r="AL17" i="3"/>
  <c r="Y192" i="3" l="1"/>
  <c r="AA192" i="3"/>
  <c r="AC192" i="3"/>
  <c r="AE192" i="3"/>
  <c r="AG192" i="3"/>
  <c r="AB193" i="3"/>
  <c r="AF193" i="3"/>
  <c r="Y194" i="3"/>
  <c r="AA194" i="3"/>
  <c r="AC194" i="3"/>
  <c r="AE194" i="3"/>
  <c r="AG194" i="3"/>
  <c r="AB195" i="3"/>
  <c r="AF195" i="3"/>
  <c r="Y196" i="3"/>
  <c r="AA196" i="3"/>
  <c r="AC196" i="3"/>
  <c r="AE196" i="3"/>
  <c r="AG196" i="3"/>
  <c r="AB197" i="3"/>
  <c r="AF197" i="3"/>
  <c r="Y198" i="3"/>
  <c r="AA198" i="3"/>
  <c r="AC198" i="3"/>
  <c r="AE198" i="3"/>
  <c r="AG198" i="3"/>
  <c r="AB199" i="3"/>
  <c r="AF199" i="3"/>
  <c r="Y200" i="3"/>
  <c r="AA200" i="3"/>
  <c r="AC200" i="3"/>
  <c r="AE200" i="3"/>
  <c r="AG200" i="3"/>
  <c r="AB201" i="3"/>
  <c r="AF201" i="3"/>
  <c r="Y202" i="3"/>
  <c r="AA202" i="3"/>
  <c r="AC202" i="3"/>
  <c r="AE202" i="3"/>
  <c r="AG202" i="3"/>
  <c r="AB203" i="3"/>
  <c r="AF203" i="3"/>
  <c r="Y204" i="3"/>
  <c r="AA204" i="3"/>
  <c r="AC204" i="3"/>
  <c r="AE204" i="3"/>
  <c r="AG204" i="3"/>
  <c r="AB205" i="3"/>
  <c r="AF205" i="3"/>
  <c r="Y206" i="3"/>
  <c r="AA206" i="3"/>
  <c r="AC206" i="3"/>
  <c r="AE206" i="3"/>
  <c r="AG206" i="3"/>
  <c r="AB207" i="3"/>
  <c r="AF207" i="3"/>
  <c r="Y208" i="3"/>
  <c r="AA208" i="3"/>
  <c r="AC208" i="3"/>
  <c r="AE208" i="3"/>
  <c r="AG208" i="3"/>
  <c r="AB209" i="3"/>
  <c r="AF209" i="3"/>
  <c r="Y210" i="3"/>
  <c r="AA210" i="3"/>
  <c r="AC210" i="3"/>
  <c r="AE210" i="3"/>
  <c r="AG210" i="3"/>
  <c r="AB211" i="3"/>
  <c r="AF211" i="3"/>
  <c r="Y212" i="3"/>
  <c r="AA212" i="3"/>
  <c r="AC212" i="3"/>
  <c r="AE212" i="3"/>
  <c r="AG212" i="3"/>
  <c r="AB213" i="3"/>
  <c r="AF213" i="3"/>
  <c r="Y214" i="3"/>
  <c r="AA214" i="3"/>
  <c r="AC214" i="3"/>
  <c r="AE214" i="3"/>
  <c r="AG214" i="3"/>
  <c r="AB215" i="3"/>
  <c r="AF215" i="3"/>
  <c r="Y216" i="3"/>
  <c r="AA216" i="3"/>
  <c r="AC216" i="3"/>
  <c r="AE216" i="3"/>
  <c r="AG216" i="3"/>
  <c r="AB217" i="3"/>
  <c r="AF217" i="3"/>
  <c r="Y218" i="3"/>
  <c r="AA218" i="3"/>
  <c r="AC218" i="3"/>
  <c r="AE218" i="3"/>
  <c r="AG218" i="3"/>
  <c r="AB219" i="3"/>
  <c r="AF219" i="3"/>
  <c r="Y220" i="3"/>
  <c r="AA220" i="3"/>
  <c r="AC220" i="3"/>
  <c r="AE220" i="3"/>
  <c r="AG220" i="3"/>
  <c r="AB221" i="3"/>
  <c r="AF221" i="3"/>
  <c r="Y222" i="3"/>
  <c r="AA222" i="3"/>
  <c r="AC222" i="3"/>
  <c r="AB223" i="3"/>
  <c r="AF223" i="3"/>
  <c r="Y224" i="3"/>
  <c r="AA224" i="3"/>
  <c r="AC224" i="3"/>
  <c r="AE224" i="3"/>
  <c r="AG224" i="3"/>
  <c r="Z225" i="3"/>
  <c r="AB225" i="3"/>
  <c r="AD225" i="3"/>
  <c r="AF225" i="3"/>
  <c r="AH225" i="3"/>
  <c r="Y226" i="3"/>
  <c r="AA226" i="3"/>
  <c r="AC226" i="3"/>
  <c r="AE226" i="3"/>
  <c r="AG226" i="3"/>
  <c r="Z227" i="3"/>
  <c r="AB227" i="3"/>
  <c r="AD227" i="3"/>
  <c r="AF227" i="3"/>
  <c r="AH227" i="3"/>
  <c r="Y228" i="3"/>
  <c r="AA228" i="3"/>
  <c r="AC228" i="3"/>
  <c r="AE228" i="3"/>
  <c r="AG228" i="3"/>
  <c r="Z229" i="3"/>
  <c r="AB229" i="3"/>
  <c r="AD229" i="3"/>
  <c r="AF229" i="3"/>
  <c r="AH229" i="3"/>
  <c r="Y230" i="3"/>
  <c r="AA230" i="3"/>
  <c r="AC230" i="3"/>
  <c r="AE230" i="3"/>
  <c r="AG230" i="3"/>
  <c r="Z231" i="3"/>
  <c r="AB231" i="3"/>
  <c r="AD231" i="3"/>
  <c r="AF231" i="3"/>
  <c r="AH231" i="3"/>
  <c r="Y232" i="3"/>
  <c r="AA232" i="3"/>
  <c r="AC232" i="3"/>
  <c r="AE232" i="3"/>
  <c r="AG232" i="3"/>
  <c r="Z233" i="3"/>
  <c r="AB233" i="3"/>
  <c r="AD233" i="3"/>
  <c r="AF233" i="3"/>
  <c r="AH233" i="3"/>
  <c r="Y234" i="3"/>
  <c r="AA234" i="3"/>
  <c r="AC234" i="3"/>
  <c r="AE234" i="3"/>
  <c r="AG234" i="3"/>
  <c r="Z235" i="3"/>
  <c r="AB235" i="3"/>
  <c r="AD235" i="3"/>
  <c r="AF235" i="3"/>
  <c r="AH235" i="3"/>
  <c r="Y236" i="3"/>
  <c r="AA236" i="3"/>
  <c r="AC236" i="3"/>
  <c r="AE236" i="3"/>
  <c r="AG236" i="3"/>
  <c r="Z237" i="3"/>
  <c r="AB237" i="3"/>
  <c r="AD237" i="3"/>
  <c r="AF237" i="3"/>
  <c r="AH237" i="3"/>
  <c r="Y238" i="3"/>
  <c r="AA238" i="3"/>
  <c r="AC238" i="3"/>
  <c r="AE238" i="3"/>
  <c r="AG238" i="3"/>
  <c r="Z239" i="3"/>
  <c r="AB239" i="3"/>
  <c r="AD239" i="3"/>
  <c r="AF239" i="3"/>
  <c r="AH239" i="3"/>
  <c r="Y240" i="3"/>
  <c r="AA240" i="3"/>
  <c r="AC240" i="3"/>
  <c r="AE240" i="3"/>
  <c r="AG240" i="3"/>
  <c r="Z241" i="3"/>
  <c r="AB241" i="3"/>
  <c r="AD241" i="3"/>
  <c r="AF241" i="3"/>
  <c r="AH241" i="3"/>
  <c r="Y242" i="3"/>
  <c r="AA242" i="3"/>
  <c r="AC242" i="3"/>
  <c r="AE242" i="3"/>
  <c r="AG242" i="3"/>
  <c r="Z243" i="3"/>
  <c r="AB243" i="3"/>
  <c r="AD243" i="3"/>
  <c r="AF243" i="3"/>
  <c r="AH243" i="3"/>
  <c r="Y244" i="3"/>
  <c r="AA244" i="3"/>
  <c r="AC244" i="3"/>
  <c r="AE244" i="3"/>
  <c r="AG244" i="3"/>
  <c r="Z245" i="3"/>
  <c r="AB245" i="3"/>
  <c r="AD245" i="3"/>
  <c r="AF245" i="3"/>
  <c r="AH245" i="3"/>
  <c r="Y246" i="3"/>
  <c r="AA246" i="3"/>
  <c r="AC246" i="3"/>
  <c r="AE246" i="3"/>
  <c r="AG246" i="3"/>
  <c r="Z248" i="3"/>
  <c r="AB247" i="3"/>
  <c r="AD248" i="3"/>
  <c r="AF247" i="3"/>
  <c r="AH247" i="3"/>
  <c r="Y248" i="3"/>
  <c r="AA248" i="3"/>
  <c r="AC248" i="3"/>
  <c r="AE248" i="3"/>
  <c r="AG248" i="3"/>
  <c r="Z249" i="3"/>
  <c r="AB249" i="3"/>
  <c r="AD249" i="3"/>
  <c r="AF249" i="3"/>
  <c r="AH249" i="3"/>
  <c r="Y250" i="3"/>
  <c r="AA250" i="3"/>
  <c r="AC250" i="3"/>
  <c r="AE250" i="3"/>
  <c r="AG250" i="3"/>
  <c r="Z251" i="3"/>
  <c r="AB251" i="3"/>
  <c r="AD251" i="3"/>
  <c r="AF251" i="3"/>
  <c r="AH251" i="3"/>
  <c r="Y252" i="3"/>
  <c r="AA252" i="3"/>
  <c r="AC252" i="3"/>
  <c r="AE252" i="3"/>
  <c r="AG252" i="3"/>
  <c r="Z253" i="3"/>
  <c r="AB253" i="3"/>
  <c r="AD253" i="3"/>
  <c r="AF253" i="3"/>
  <c r="AH253" i="3"/>
  <c r="Y254" i="3"/>
  <c r="AA254" i="3"/>
  <c r="AC254" i="3"/>
  <c r="AE254" i="3"/>
  <c r="AG254" i="3"/>
  <c r="Z255" i="3"/>
  <c r="AB255" i="3"/>
  <c r="AD255" i="3"/>
  <c r="AF255" i="3"/>
  <c r="AH255" i="3"/>
  <c r="Y256" i="3"/>
  <c r="AA256" i="3"/>
  <c r="AC256" i="3"/>
  <c r="AE256" i="3"/>
  <c r="AG256" i="3"/>
  <c r="Y258" i="3"/>
  <c r="AA258" i="3"/>
  <c r="AC258" i="3"/>
  <c r="AE258" i="3"/>
  <c r="AG258" i="3"/>
  <c r="Z259" i="3"/>
  <c r="AB259" i="3"/>
  <c r="AD259" i="3"/>
  <c r="AF259" i="3"/>
  <c r="AH259" i="3"/>
  <c r="Y260" i="3"/>
  <c r="AA260" i="3"/>
  <c r="AC260" i="3"/>
  <c r="AE260" i="3"/>
  <c r="AG260" i="3"/>
  <c r="Z261" i="3"/>
  <c r="AB261" i="3"/>
  <c r="AD261" i="3"/>
  <c r="AE275" i="3"/>
  <c r="AE277" i="3"/>
  <c r="AE276" i="3"/>
  <c r="AF261" i="3"/>
  <c r="AH261" i="3"/>
  <c r="Y262" i="3"/>
  <c r="AA262" i="3"/>
  <c r="AB263" i="3"/>
  <c r="AF263" i="3"/>
  <c r="Y264" i="3"/>
  <c r="AA264" i="3"/>
  <c r="AC264" i="3"/>
  <c r="AE264" i="3"/>
  <c r="AG264" i="3"/>
  <c r="AB265" i="3"/>
  <c r="AF265" i="3"/>
  <c r="Y266" i="3"/>
  <c r="AA266" i="3"/>
  <c r="AC266" i="3"/>
  <c r="AE266" i="3"/>
  <c r="AG266" i="3"/>
  <c r="AB267" i="3"/>
  <c r="AH191" i="3"/>
  <c r="AF190" i="3"/>
  <c r="Z120" i="3"/>
  <c r="AB120" i="3"/>
  <c r="AD120" i="3"/>
  <c r="AF120" i="3"/>
  <c r="AH120" i="3"/>
  <c r="Y121" i="3"/>
  <c r="AA121" i="3"/>
  <c r="AC121" i="3"/>
  <c r="AE121" i="3"/>
  <c r="AG121" i="3"/>
  <c r="Z122" i="3"/>
  <c r="AB122" i="3"/>
  <c r="AD122" i="3"/>
  <c r="AF122" i="3"/>
  <c r="AH122" i="3"/>
  <c r="Y123" i="3"/>
  <c r="AA123" i="3"/>
  <c r="AC123" i="3"/>
  <c r="AE123" i="3"/>
  <c r="AG123" i="3"/>
  <c r="Z124" i="3"/>
  <c r="AB124" i="3"/>
  <c r="AD124" i="3"/>
  <c r="AF124" i="3"/>
  <c r="AH124" i="3"/>
  <c r="Y125" i="3"/>
  <c r="AA125" i="3"/>
  <c r="AC125" i="3"/>
  <c r="AE125" i="3"/>
  <c r="AG125" i="3"/>
  <c r="Z126" i="3"/>
  <c r="AB126" i="3"/>
  <c r="AD126" i="3"/>
  <c r="AF126" i="3"/>
  <c r="AH126" i="3"/>
  <c r="Y127" i="3"/>
  <c r="AA127" i="3"/>
  <c r="AC127" i="3"/>
  <c r="AE127" i="3"/>
  <c r="AG127" i="3"/>
  <c r="Z128" i="3"/>
  <c r="AB128" i="3"/>
  <c r="AD128" i="3"/>
  <c r="AF128" i="3"/>
  <c r="AH128" i="3"/>
  <c r="Y129" i="3"/>
  <c r="AA129" i="3"/>
  <c r="AC129" i="3"/>
  <c r="AE129" i="3"/>
  <c r="AG129" i="3"/>
  <c r="Z130" i="3"/>
  <c r="AB130" i="3"/>
  <c r="AD130" i="3"/>
  <c r="AF130" i="3"/>
  <c r="AH130" i="3"/>
  <c r="Y131" i="3"/>
  <c r="AA131" i="3"/>
  <c r="AC131" i="3"/>
  <c r="AE131" i="3"/>
  <c r="AG131" i="3"/>
  <c r="Z132" i="3"/>
  <c r="AB132" i="3"/>
  <c r="AD132" i="3"/>
  <c r="AF132" i="3"/>
  <c r="AH132" i="3"/>
  <c r="Y133" i="3"/>
  <c r="AA133" i="3"/>
  <c r="AC133" i="3"/>
  <c r="AE133" i="3"/>
  <c r="AG133" i="3"/>
  <c r="Z134" i="3"/>
  <c r="AB134" i="3"/>
  <c r="AD134" i="3"/>
  <c r="AF134" i="3"/>
  <c r="AH134" i="3"/>
  <c r="Y135" i="3"/>
  <c r="AA135" i="3"/>
  <c r="AC135" i="3"/>
  <c r="AE135" i="3"/>
  <c r="AG135" i="3"/>
  <c r="Z136" i="3"/>
  <c r="AB136" i="3"/>
  <c r="AD136" i="3"/>
  <c r="AF136" i="3"/>
  <c r="AH136" i="3"/>
  <c r="Y137" i="3"/>
  <c r="AA137" i="3"/>
  <c r="AC137" i="3"/>
  <c r="AE137" i="3"/>
  <c r="AG137" i="3"/>
  <c r="Z138" i="3"/>
  <c r="AB138" i="3"/>
  <c r="AD138" i="3"/>
  <c r="AF138" i="3"/>
  <c r="AH138" i="3"/>
  <c r="Y139" i="3"/>
  <c r="AA139" i="3"/>
  <c r="AC139" i="3"/>
  <c r="AE139" i="3"/>
  <c r="AG139" i="3"/>
  <c r="Z140" i="3"/>
  <c r="AB140" i="3"/>
  <c r="AD140" i="3"/>
  <c r="AF140" i="3"/>
  <c r="AH140" i="3"/>
  <c r="Y141" i="3"/>
  <c r="AA141" i="3"/>
  <c r="AC141" i="3"/>
  <c r="AE141" i="3"/>
  <c r="AG141" i="3"/>
  <c r="Z142" i="3"/>
  <c r="AB142" i="3"/>
  <c r="AD142" i="3"/>
  <c r="AF142" i="3"/>
  <c r="AH142" i="3"/>
  <c r="Y143" i="3"/>
  <c r="AA143" i="3"/>
  <c r="AC143" i="3"/>
  <c r="AE143" i="3"/>
  <c r="AG143" i="3"/>
  <c r="Z144" i="3"/>
  <c r="AB144" i="3"/>
  <c r="AD144" i="3"/>
  <c r="AF144" i="3"/>
  <c r="AH144" i="3"/>
  <c r="Y145" i="3"/>
  <c r="AA145" i="3"/>
  <c r="AC145" i="3"/>
  <c r="AE145" i="3"/>
  <c r="AG145" i="3"/>
  <c r="Z146" i="3"/>
  <c r="AB146" i="3"/>
  <c r="AD146" i="3"/>
  <c r="AF146" i="3"/>
  <c r="AH146" i="3"/>
  <c r="Y147" i="3"/>
  <c r="AA147" i="3"/>
  <c r="AC147" i="3"/>
  <c r="AE147" i="3"/>
  <c r="AG147" i="3"/>
  <c r="Z148" i="3"/>
  <c r="AB148" i="3"/>
  <c r="AD148" i="3"/>
  <c r="AF148" i="3"/>
  <c r="AH148" i="3"/>
  <c r="Y149" i="3"/>
  <c r="AA149" i="3"/>
  <c r="AC149" i="3"/>
  <c r="AE149" i="3"/>
  <c r="AG149" i="3"/>
  <c r="Z150" i="3"/>
  <c r="AB150" i="3"/>
  <c r="AD150" i="3"/>
  <c r="AF150" i="3"/>
  <c r="AH150" i="3"/>
  <c r="Y151" i="3"/>
  <c r="AA151" i="3"/>
  <c r="AC151" i="3"/>
  <c r="AE151" i="3"/>
  <c r="AG151" i="3"/>
  <c r="Z152" i="3"/>
  <c r="AB152" i="3"/>
  <c r="AD152" i="3"/>
  <c r="AF152" i="3"/>
  <c r="AH152" i="3"/>
  <c r="Y153" i="3"/>
  <c r="AA153" i="3"/>
  <c r="AC153" i="3"/>
  <c r="AE153" i="3"/>
  <c r="AG153" i="3"/>
  <c r="Z154" i="3"/>
  <c r="AB154" i="3"/>
  <c r="AD154" i="3"/>
  <c r="AF154" i="3"/>
  <c r="AH154" i="3"/>
  <c r="Y155" i="3"/>
  <c r="AA155" i="3"/>
  <c r="AC155" i="3"/>
  <c r="AE155" i="3"/>
  <c r="AG155" i="3"/>
  <c r="Z156" i="3"/>
  <c r="AB156" i="3"/>
  <c r="AD156" i="3"/>
  <c r="AF156" i="3"/>
  <c r="AH156" i="3"/>
  <c r="Y157" i="3"/>
  <c r="AA157" i="3"/>
  <c r="AC157" i="3"/>
  <c r="AE157" i="3"/>
  <c r="AG157" i="3"/>
  <c r="Z158" i="3"/>
  <c r="AB158" i="3"/>
  <c r="AD158" i="3"/>
  <c r="AF158" i="3"/>
  <c r="AH158" i="3"/>
  <c r="Y159" i="3"/>
  <c r="AA159" i="3"/>
  <c r="AC159" i="3"/>
  <c r="AE159" i="3"/>
  <c r="AG159" i="3"/>
  <c r="Z160" i="3"/>
  <c r="AB160" i="3"/>
  <c r="Z191" i="3"/>
  <c r="AD191" i="3"/>
  <c r="AA275" i="3"/>
  <c r="AA276" i="3"/>
  <c r="AA277" i="3"/>
  <c r="AA278" i="3"/>
  <c r="AE278" i="3"/>
  <c r="AA279" i="3"/>
  <c r="AE279" i="3"/>
  <c r="AA280" i="3"/>
  <c r="AE280" i="3"/>
  <c r="AA281" i="3"/>
  <c r="AE281" i="3"/>
  <c r="AA282" i="3"/>
  <c r="AE282" i="3"/>
  <c r="AA283" i="3"/>
  <c r="AE283" i="3"/>
  <c r="AD160" i="3"/>
  <c r="AF160" i="3"/>
  <c r="AH160" i="3"/>
  <c r="Y161" i="3"/>
  <c r="AA161" i="3"/>
  <c r="AC161" i="3"/>
  <c r="AE161" i="3"/>
  <c r="AG161" i="3"/>
  <c r="Z162" i="3"/>
  <c r="AB162" i="3"/>
  <c r="AD162" i="3"/>
  <c r="AF162" i="3"/>
  <c r="AH162" i="3"/>
  <c r="Y163" i="3"/>
  <c r="AA163" i="3"/>
  <c r="AC163" i="3"/>
  <c r="AE163" i="3"/>
  <c r="AG163" i="3"/>
  <c r="Z164" i="3"/>
  <c r="AB164" i="3"/>
  <c r="AD164" i="3"/>
  <c r="AF164" i="3"/>
  <c r="AH164" i="3"/>
  <c r="Y165" i="3"/>
  <c r="AA165" i="3"/>
  <c r="AC165" i="3"/>
  <c r="AE165" i="3"/>
  <c r="AG165" i="3"/>
  <c r="Y167" i="3"/>
  <c r="AA167" i="3"/>
  <c r="AC167" i="3"/>
  <c r="AE167" i="3"/>
  <c r="AG167" i="3"/>
  <c r="Z168" i="3"/>
  <c r="AB168" i="3"/>
  <c r="AD168" i="3"/>
  <c r="AF168" i="3"/>
  <c r="AH168" i="3"/>
  <c r="Y169" i="3"/>
  <c r="AA169" i="3"/>
  <c r="AC169" i="3"/>
  <c r="AE169" i="3"/>
  <c r="AG169" i="3"/>
  <c r="Z170" i="3"/>
  <c r="AB170" i="3"/>
  <c r="AD170" i="3"/>
  <c r="AF170" i="3"/>
  <c r="AH170" i="3"/>
  <c r="Y171" i="3"/>
  <c r="AA171" i="3"/>
  <c r="AC171" i="3"/>
  <c r="AE171" i="3"/>
  <c r="AG171" i="3"/>
  <c r="Z172" i="3"/>
  <c r="AB172" i="3"/>
  <c r="AD172" i="3"/>
  <c r="AF172" i="3"/>
  <c r="AH172" i="3"/>
  <c r="Y173" i="3"/>
  <c r="AA173" i="3"/>
  <c r="AC173" i="3"/>
  <c r="AE173" i="3"/>
  <c r="AG173" i="3"/>
  <c r="Z174" i="3"/>
  <c r="AB174" i="3"/>
  <c r="AD174" i="3"/>
  <c r="AF174" i="3"/>
  <c r="AH174" i="3"/>
  <c r="Y175" i="3"/>
  <c r="AA175" i="3"/>
  <c r="AC175" i="3"/>
  <c r="AE175" i="3"/>
  <c r="AG175" i="3"/>
  <c r="Z176" i="3"/>
  <c r="AB176" i="3"/>
  <c r="AD176" i="3"/>
  <c r="AF176" i="3"/>
  <c r="AH176" i="3"/>
  <c r="Y177" i="3"/>
  <c r="AA177" i="3"/>
  <c r="AC177" i="3"/>
  <c r="AE177" i="3"/>
  <c r="AG177" i="3"/>
  <c r="Y120" i="3"/>
  <c r="AA120" i="3"/>
  <c r="AC120" i="3"/>
  <c r="AE120" i="3"/>
  <c r="AG120" i="3"/>
  <c r="Z121" i="3"/>
  <c r="AB121" i="3"/>
  <c r="AD121" i="3"/>
  <c r="AF121" i="3"/>
  <c r="AH121" i="3"/>
  <c r="Y122" i="3"/>
  <c r="AA122" i="3"/>
  <c r="AC122" i="3"/>
  <c r="AE122" i="3"/>
  <c r="AG122" i="3"/>
  <c r="Z123" i="3"/>
  <c r="AB123" i="3"/>
  <c r="AD123" i="3"/>
  <c r="AF123" i="3"/>
  <c r="AH123" i="3"/>
  <c r="Y124" i="3"/>
  <c r="AA124" i="3"/>
  <c r="AC124" i="3"/>
  <c r="AE124" i="3"/>
  <c r="AG124" i="3"/>
  <c r="Z125" i="3"/>
  <c r="AB125" i="3"/>
  <c r="AD125" i="3"/>
  <c r="AF125" i="3"/>
  <c r="AH125" i="3"/>
  <c r="Y126" i="3"/>
  <c r="AA126" i="3"/>
  <c r="AC126" i="3"/>
  <c r="AE126" i="3"/>
  <c r="AG126" i="3"/>
  <c r="Z127" i="3"/>
  <c r="AB127" i="3"/>
  <c r="AD127" i="3"/>
  <c r="AF127" i="3"/>
  <c r="AH127" i="3"/>
  <c r="Y128" i="3"/>
  <c r="AA128" i="3"/>
  <c r="AC128" i="3"/>
  <c r="AE128" i="3"/>
  <c r="AG128" i="3"/>
  <c r="Z129" i="3"/>
  <c r="AB129" i="3"/>
  <c r="AD129" i="3"/>
  <c r="AF129" i="3"/>
  <c r="AH129" i="3"/>
  <c r="Y130" i="3"/>
  <c r="AA130" i="3"/>
  <c r="AC130" i="3"/>
  <c r="AE130" i="3"/>
  <c r="AG130" i="3"/>
  <c r="Z131" i="3"/>
  <c r="AB131" i="3"/>
  <c r="AD131" i="3"/>
  <c r="AF131" i="3"/>
  <c r="AH131" i="3"/>
  <c r="Y132" i="3"/>
  <c r="AA132" i="3"/>
  <c r="AC132" i="3"/>
  <c r="AE132" i="3"/>
  <c r="AG132" i="3"/>
  <c r="Z133" i="3"/>
  <c r="AB133" i="3"/>
  <c r="AD133" i="3"/>
  <c r="AF133" i="3"/>
  <c r="AH133" i="3"/>
  <c r="Y134" i="3"/>
  <c r="AA134" i="3"/>
  <c r="AC134" i="3"/>
  <c r="AE134" i="3"/>
  <c r="AG134" i="3"/>
  <c r="Z135" i="3"/>
  <c r="AB135" i="3"/>
  <c r="AD135" i="3"/>
  <c r="AF135" i="3"/>
  <c r="AH135" i="3"/>
  <c r="Y136" i="3"/>
  <c r="AA136" i="3"/>
  <c r="AC136" i="3"/>
  <c r="AE136" i="3"/>
  <c r="AG136" i="3"/>
  <c r="Z137" i="3"/>
  <c r="AB137" i="3"/>
  <c r="AD137" i="3"/>
  <c r="AF137" i="3"/>
  <c r="AH137" i="3"/>
  <c r="Y138" i="3"/>
  <c r="AA138" i="3"/>
  <c r="AC138" i="3"/>
  <c r="AE138" i="3"/>
  <c r="AG138" i="3"/>
  <c r="Z139" i="3"/>
  <c r="AB139" i="3"/>
  <c r="AD139" i="3"/>
  <c r="AF139" i="3"/>
  <c r="AH139" i="3"/>
  <c r="Y140" i="3"/>
  <c r="AA140" i="3"/>
  <c r="AC140" i="3"/>
  <c r="AE140" i="3"/>
  <c r="AG140" i="3"/>
  <c r="Z141" i="3"/>
  <c r="AB141" i="3"/>
  <c r="AD141" i="3"/>
  <c r="AF141" i="3"/>
  <c r="AH141" i="3"/>
  <c r="Y142" i="3"/>
  <c r="AA142" i="3"/>
  <c r="AC142" i="3"/>
  <c r="AE142" i="3"/>
  <c r="AG142" i="3"/>
  <c r="Z143" i="3"/>
  <c r="AB143" i="3"/>
  <c r="AD143" i="3"/>
  <c r="AF143" i="3"/>
  <c r="AH143" i="3"/>
  <c r="Y144" i="3"/>
  <c r="AA144" i="3"/>
  <c r="AC144" i="3"/>
  <c r="AE144" i="3"/>
  <c r="AG144" i="3"/>
  <c r="Z145" i="3"/>
  <c r="AB145" i="3"/>
  <c r="AD145" i="3"/>
  <c r="AF145" i="3"/>
  <c r="AH145" i="3"/>
  <c r="Y146" i="3"/>
  <c r="AA146" i="3"/>
  <c r="AC146" i="3"/>
  <c r="AE146" i="3"/>
  <c r="AG146" i="3"/>
  <c r="Z147" i="3"/>
  <c r="AB147" i="3"/>
  <c r="AD147" i="3"/>
  <c r="AF147" i="3"/>
  <c r="AH147" i="3"/>
  <c r="Y148" i="3"/>
  <c r="AA148" i="3"/>
  <c r="AC148" i="3"/>
  <c r="AE148" i="3"/>
  <c r="AG148" i="3"/>
  <c r="Z149" i="3"/>
  <c r="AB149" i="3"/>
  <c r="AD149" i="3"/>
  <c r="AF149" i="3"/>
  <c r="AH149" i="3"/>
  <c r="Y150" i="3"/>
  <c r="AA150" i="3"/>
  <c r="AC150" i="3"/>
  <c r="AE150" i="3"/>
  <c r="AG150" i="3"/>
  <c r="Z151" i="3"/>
  <c r="AB151" i="3"/>
  <c r="AD151" i="3"/>
  <c r="AF151" i="3"/>
  <c r="AH151" i="3"/>
  <c r="Y152" i="3"/>
  <c r="AA152" i="3"/>
  <c r="AC152" i="3"/>
  <c r="AE152" i="3"/>
  <c r="AG152" i="3"/>
  <c r="Z153" i="3"/>
  <c r="AB153" i="3"/>
  <c r="Y178" i="3"/>
  <c r="AA178" i="3"/>
  <c r="AC178" i="3"/>
  <c r="AE178" i="3"/>
  <c r="AG178" i="3"/>
  <c r="Y179" i="3"/>
  <c r="AA179" i="3"/>
  <c r="AC179" i="3"/>
  <c r="AE179" i="3"/>
  <c r="AG179" i="3"/>
  <c r="Y180" i="3"/>
  <c r="AA180" i="3"/>
  <c r="AC180" i="3"/>
  <c r="AE180" i="3"/>
  <c r="AG180" i="3"/>
  <c r="Y181" i="3"/>
  <c r="AA181" i="3"/>
  <c r="AC181" i="3"/>
  <c r="AE181" i="3"/>
  <c r="AG181" i="3"/>
  <c r="Y182" i="3"/>
  <c r="AA182" i="3"/>
  <c r="AC182" i="3"/>
  <c r="AE182" i="3"/>
  <c r="AG182" i="3"/>
  <c r="Y183" i="3"/>
  <c r="AA183" i="3"/>
  <c r="AC183" i="3"/>
  <c r="AE183" i="3"/>
  <c r="AG183" i="3"/>
  <c r="Y184" i="3"/>
  <c r="AA184" i="3"/>
  <c r="AC184" i="3"/>
  <c r="AE184" i="3"/>
  <c r="AG184" i="3"/>
  <c r="Y185" i="3"/>
  <c r="AA185" i="3"/>
  <c r="AC185" i="3"/>
  <c r="AE185" i="3"/>
  <c r="AG185" i="3"/>
  <c r="Y186" i="3"/>
  <c r="AA186" i="3"/>
  <c r="AC186" i="3"/>
  <c r="AE186" i="3"/>
  <c r="AG186" i="3"/>
  <c r="Y187" i="3"/>
  <c r="AA187" i="3"/>
  <c r="AC187" i="3"/>
  <c r="AE187" i="3"/>
  <c r="AG187" i="3"/>
  <c r="Y188" i="3"/>
  <c r="AA188" i="3"/>
  <c r="AC188" i="3"/>
  <c r="AE188" i="3"/>
  <c r="AG188" i="3"/>
  <c r="Y189" i="3"/>
  <c r="AA189" i="3"/>
  <c r="AC189" i="3"/>
  <c r="AE189" i="3"/>
  <c r="AG189" i="3"/>
  <c r="Y190" i="3"/>
  <c r="AA190" i="3"/>
  <c r="AC190" i="3"/>
  <c r="AD153" i="3"/>
  <c r="AF153" i="3"/>
  <c r="AH153" i="3"/>
  <c r="Y154" i="3"/>
  <c r="AA154" i="3"/>
  <c r="AC154" i="3"/>
  <c r="AE154" i="3"/>
  <c r="AG154" i="3"/>
  <c r="Z155" i="3"/>
  <c r="AB155" i="3"/>
  <c r="AD155" i="3"/>
  <c r="AF155" i="3"/>
  <c r="AH155" i="3"/>
  <c r="Y156" i="3"/>
  <c r="AA156" i="3"/>
  <c r="AC156" i="3"/>
  <c r="AE156" i="3"/>
  <c r="AG156" i="3"/>
  <c r="Z157" i="3"/>
  <c r="AB157" i="3"/>
  <c r="AD157" i="3"/>
  <c r="AF157" i="3"/>
  <c r="AH157" i="3"/>
  <c r="AB159" i="3"/>
  <c r="AF159" i="3"/>
  <c r="Y160" i="3"/>
  <c r="AA160" i="3"/>
  <c r="AC160" i="3"/>
  <c r="AE160" i="3"/>
  <c r="AG160" i="3"/>
  <c r="AB161" i="3"/>
  <c r="AF161" i="3"/>
  <c r="Y162" i="3"/>
  <c r="AA162" i="3"/>
  <c r="AC162" i="3"/>
  <c r="AE162" i="3"/>
  <c r="AG162" i="3"/>
  <c r="AB163" i="3"/>
  <c r="AF163" i="3"/>
  <c r="Y164" i="3"/>
  <c r="AA164" i="3"/>
  <c r="AC164" i="3"/>
  <c r="AE164" i="3"/>
  <c r="AG164" i="3"/>
  <c r="Y166" i="3"/>
  <c r="AA166" i="3"/>
  <c r="AC166" i="3"/>
  <c r="AE166" i="3"/>
  <c r="AG166" i="3"/>
  <c r="Z167" i="3"/>
  <c r="AB167" i="3"/>
  <c r="AD167" i="3"/>
  <c r="AF167" i="3"/>
  <c r="AH167" i="3"/>
  <c r="Y168" i="3"/>
  <c r="AA168" i="3"/>
  <c r="AC168" i="3"/>
  <c r="AE168" i="3"/>
  <c r="AG168" i="3"/>
  <c r="Z169" i="3"/>
  <c r="AB169" i="3"/>
  <c r="AD169" i="3"/>
  <c r="AF169" i="3"/>
  <c r="AH169" i="3"/>
  <c r="Y170" i="3"/>
  <c r="AA170" i="3"/>
  <c r="AC170" i="3"/>
  <c r="AE170" i="3"/>
  <c r="AG170" i="3"/>
  <c r="Z171" i="3"/>
  <c r="AB171" i="3"/>
  <c r="AD171" i="3"/>
  <c r="AF171" i="3"/>
  <c r="AH171" i="3"/>
  <c r="Y172" i="3"/>
  <c r="AA172" i="3"/>
  <c r="AC172" i="3"/>
  <c r="AE172" i="3"/>
  <c r="AG172" i="3"/>
  <c r="Z173" i="3"/>
  <c r="AB173" i="3"/>
  <c r="AD173" i="3"/>
  <c r="AF173" i="3"/>
  <c r="AH173" i="3"/>
  <c r="Y174" i="3"/>
  <c r="AA174" i="3"/>
  <c r="AC174" i="3"/>
  <c r="AE174" i="3"/>
  <c r="AG174" i="3"/>
  <c r="Z175" i="3"/>
  <c r="AB175" i="3"/>
  <c r="AD175" i="3"/>
  <c r="AF175" i="3"/>
  <c r="AH175" i="3"/>
  <c r="Y176" i="3"/>
  <c r="AA176" i="3"/>
  <c r="AC176" i="3"/>
  <c r="AE176" i="3"/>
  <c r="AG176" i="3"/>
  <c r="Z177" i="3"/>
  <c r="AB177" i="3"/>
  <c r="AD177" i="3"/>
  <c r="AF177" i="3"/>
  <c r="AH177" i="3"/>
  <c r="Z178" i="3"/>
  <c r="AB178" i="3"/>
  <c r="AD178" i="3"/>
  <c r="AF178" i="3"/>
  <c r="AH178" i="3"/>
  <c r="Z179" i="3"/>
  <c r="AB179" i="3"/>
  <c r="AD179" i="3"/>
  <c r="AF179" i="3"/>
  <c r="AH179" i="3"/>
  <c r="Z180" i="3"/>
  <c r="AB180" i="3"/>
  <c r="AD180" i="3"/>
  <c r="AF180" i="3"/>
  <c r="AH180" i="3"/>
  <c r="Z181" i="3"/>
  <c r="AB181" i="3"/>
  <c r="AD181" i="3"/>
  <c r="AF181" i="3"/>
  <c r="AH181" i="3"/>
  <c r="Z182" i="3"/>
  <c r="AB182" i="3"/>
  <c r="AD182" i="3"/>
  <c r="AF182" i="3"/>
  <c r="AH182" i="3"/>
  <c r="Z183" i="3"/>
  <c r="AB183" i="3"/>
  <c r="AD183" i="3"/>
  <c r="AF183" i="3"/>
  <c r="AH183" i="3"/>
  <c r="Z184" i="3"/>
  <c r="AB184" i="3"/>
  <c r="AD184" i="3"/>
  <c r="AF184" i="3"/>
  <c r="AH184" i="3"/>
  <c r="Z185" i="3"/>
  <c r="AB185" i="3"/>
  <c r="AD185" i="3"/>
  <c r="AF185" i="3"/>
  <c r="AH185" i="3"/>
  <c r="Z186" i="3"/>
  <c r="AB186" i="3"/>
  <c r="AD186" i="3"/>
  <c r="AF186" i="3"/>
  <c r="AH186" i="3"/>
  <c r="Z187" i="3"/>
  <c r="AB187" i="3"/>
  <c r="AD187" i="3"/>
  <c r="AF187" i="3"/>
  <c r="AH187" i="3"/>
  <c r="Z188" i="3"/>
  <c r="AB188" i="3"/>
  <c r="AD188" i="3"/>
  <c r="AF188" i="3"/>
  <c r="AH188" i="3"/>
  <c r="Z189" i="3"/>
  <c r="AB189" i="3"/>
  <c r="AD189" i="3"/>
  <c r="AF189" i="3"/>
  <c r="AH189" i="3"/>
  <c r="Z190" i="3"/>
  <c r="AB190" i="3"/>
  <c r="AD190" i="3"/>
  <c r="AH190" i="3"/>
  <c r="AB191" i="3"/>
  <c r="AF191" i="3"/>
  <c r="Z193" i="3"/>
  <c r="AB192" i="3"/>
  <c r="AD193" i="3"/>
  <c r="AF192" i="3"/>
  <c r="AH193" i="3"/>
  <c r="Y193" i="3"/>
  <c r="AA193" i="3"/>
  <c r="AC193" i="3"/>
  <c r="AE193" i="3"/>
  <c r="AG193" i="3"/>
  <c r="Z195" i="3"/>
  <c r="AB194" i="3"/>
  <c r="AD195" i="3"/>
  <c r="AF194" i="3"/>
  <c r="AH195" i="3"/>
  <c r="Y195" i="3"/>
  <c r="AA195" i="3"/>
  <c r="AC195" i="3"/>
  <c r="AE195" i="3"/>
  <c r="AG195" i="3"/>
  <c r="Z197" i="3"/>
  <c r="AB196" i="3"/>
  <c r="AD197" i="3"/>
  <c r="AF196" i="3"/>
  <c r="AH197" i="3"/>
  <c r="Y197" i="3"/>
  <c r="AA197" i="3"/>
  <c r="AC197" i="3"/>
  <c r="AE197" i="3"/>
  <c r="AG197" i="3"/>
  <c r="Z199" i="3"/>
  <c r="AB198" i="3"/>
  <c r="AD199" i="3"/>
  <c r="AF198" i="3"/>
  <c r="AH199" i="3"/>
  <c r="Y199" i="3"/>
  <c r="AA199" i="3"/>
  <c r="AC199" i="3"/>
  <c r="AE199" i="3"/>
  <c r="AG199" i="3"/>
  <c r="Z201" i="3"/>
  <c r="AB200" i="3"/>
  <c r="AD201" i="3"/>
  <c r="AF200" i="3"/>
  <c r="AH201" i="3"/>
  <c r="Y201" i="3"/>
  <c r="AA201" i="3"/>
  <c r="AC201" i="3"/>
  <c r="AE201" i="3"/>
  <c r="AG201" i="3"/>
  <c r="Z203" i="3"/>
  <c r="AB202" i="3"/>
  <c r="AD203" i="3"/>
  <c r="AF202" i="3"/>
  <c r="AH203" i="3"/>
  <c r="Y203" i="3"/>
  <c r="AA203" i="3"/>
  <c r="AC203" i="3"/>
  <c r="AE203" i="3"/>
  <c r="AG203" i="3"/>
  <c r="Z205" i="3"/>
  <c r="AB204" i="3"/>
  <c r="AD205" i="3"/>
  <c r="AF204" i="3"/>
  <c r="AH205" i="3"/>
  <c r="Y205" i="3"/>
  <c r="AA205" i="3"/>
  <c r="AC205" i="3"/>
  <c r="AE205" i="3"/>
  <c r="AG205" i="3"/>
  <c r="Z207" i="3"/>
  <c r="AB206" i="3"/>
  <c r="AD207" i="3"/>
  <c r="AF206" i="3"/>
  <c r="AH207" i="3"/>
  <c r="Y207" i="3"/>
  <c r="AA207" i="3"/>
  <c r="AC207" i="3"/>
  <c r="AE207" i="3"/>
  <c r="AG207" i="3"/>
  <c r="Z209" i="3"/>
  <c r="AB208" i="3"/>
  <c r="AD209" i="3"/>
  <c r="AF208" i="3"/>
  <c r="AH209" i="3"/>
  <c r="Y209" i="3"/>
  <c r="AA209" i="3"/>
  <c r="AC209" i="3"/>
  <c r="AE209" i="3"/>
  <c r="AG209" i="3"/>
  <c r="Z211" i="3"/>
  <c r="AB210" i="3"/>
  <c r="AD211" i="3"/>
  <c r="AF210" i="3"/>
  <c r="AH211" i="3"/>
  <c r="Y211" i="3"/>
  <c r="AA211" i="3"/>
  <c r="AC211" i="3"/>
  <c r="AE211" i="3"/>
  <c r="AG211" i="3"/>
  <c r="Z213" i="3"/>
  <c r="AB212" i="3"/>
  <c r="AD213" i="3"/>
  <c r="AF212" i="3"/>
  <c r="AH213" i="3"/>
  <c r="Y213" i="3"/>
  <c r="AA213" i="3"/>
  <c r="AC213" i="3"/>
  <c r="AE213" i="3"/>
  <c r="AG213" i="3"/>
  <c r="Z215" i="3"/>
  <c r="AB214" i="3"/>
  <c r="AD215" i="3"/>
  <c r="AF214" i="3"/>
  <c r="AH215" i="3"/>
  <c r="Y215" i="3"/>
  <c r="AA215" i="3"/>
  <c r="AC215" i="3"/>
  <c r="AE215" i="3"/>
  <c r="AG215" i="3"/>
  <c r="Z217" i="3"/>
  <c r="AB216" i="3"/>
  <c r="AD217" i="3"/>
  <c r="AF216" i="3"/>
  <c r="AH217" i="3"/>
  <c r="Y217" i="3"/>
  <c r="AA217" i="3"/>
  <c r="AC217" i="3"/>
  <c r="AE217" i="3"/>
  <c r="AG217" i="3"/>
  <c r="Z219" i="3"/>
  <c r="AB218" i="3"/>
  <c r="AD219" i="3"/>
  <c r="AF218" i="3"/>
  <c r="AH219" i="3"/>
  <c r="Y219" i="3"/>
  <c r="AA219" i="3"/>
  <c r="AC219" i="3"/>
  <c r="AE219" i="3"/>
  <c r="AG219" i="3"/>
  <c r="Z221" i="3"/>
  <c r="AB220" i="3"/>
  <c r="AD221" i="3"/>
  <c r="AF220" i="3"/>
  <c r="AH221" i="3"/>
  <c r="Y221" i="3"/>
  <c r="AA221" i="3"/>
  <c r="AC221" i="3"/>
  <c r="AE221" i="3"/>
  <c r="AG221" i="3"/>
  <c r="Z222" i="3"/>
  <c r="AB222" i="3"/>
  <c r="AD222" i="3"/>
  <c r="AF222" i="3"/>
  <c r="AH222" i="3"/>
  <c r="Y225" i="3"/>
  <c r="AA225" i="3"/>
  <c r="AC225" i="3"/>
  <c r="AE225" i="3"/>
  <c r="AG225" i="3"/>
  <c r="AB226" i="3"/>
  <c r="AF226" i="3"/>
  <c r="Y227" i="3"/>
  <c r="AA227" i="3"/>
  <c r="AC227" i="3"/>
  <c r="AE227" i="3"/>
  <c r="AG227" i="3"/>
  <c r="AB228" i="3"/>
  <c r="AF228" i="3"/>
  <c r="Y229" i="3"/>
  <c r="AA229" i="3"/>
  <c r="AC229" i="3"/>
  <c r="AE229" i="3"/>
  <c r="AG229" i="3"/>
  <c r="AB230" i="3"/>
  <c r="AF230" i="3"/>
  <c r="Y231" i="3"/>
  <c r="AA231" i="3"/>
  <c r="AC231" i="3"/>
  <c r="AE231" i="3"/>
  <c r="AG231" i="3"/>
  <c r="Y233" i="3"/>
  <c r="AA233" i="3"/>
  <c r="AC233" i="3"/>
  <c r="AE233" i="3"/>
  <c r="AG233" i="3"/>
  <c r="Z234" i="3"/>
  <c r="AB234" i="3"/>
  <c r="AD234" i="3"/>
  <c r="AF234" i="3"/>
  <c r="AH234" i="3"/>
  <c r="Y235" i="3"/>
  <c r="AA235" i="3"/>
  <c r="AC235" i="3"/>
  <c r="AE235" i="3"/>
  <c r="AG235" i="3"/>
  <c r="Z236" i="3"/>
  <c r="AB236" i="3"/>
  <c r="AD236" i="3"/>
  <c r="AF236" i="3"/>
  <c r="AH236" i="3"/>
  <c r="Y237" i="3"/>
  <c r="AA237" i="3"/>
  <c r="AC237" i="3"/>
  <c r="AE237" i="3"/>
  <c r="AG237" i="3"/>
  <c r="Z238" i="3"/>
  <c r="AB238" i="3"/>
  <c r="AD238" i="3"/>
  <c r="AF238" i="3"/>
  <c r="AH238" i="3"/>
  <c r="Y239" i="3"/>
  <c r="AA239" i="3"/>
  <c r="AC239" i="3"/>
  <c r="AE239" i="3"/>
  <c r="AG239" i="3"/>
  <c r="Z240" i="3"/>
  <c r="AB240" i="3"/>
  <c r="AD240" i="3"/>
  <c r="AF240" i="3"/>
  <c r="AH240" i="3"/>
  <c r="Y241" i="3"/>
  <c r="AA241" i="3"/>
  <c r="AC241" i="3"/>
  <c r="AE241" i="3"/>
  <c r="AG241" i="3"/>
  <c r="Z242" i="3"/>
  <c r="AB242" i="3"/>
  <c r="AD242" i="3"/>
  <c r="AF242" i="3"/>
  <c r="AH242" i="3"/>
  <c r="Y243" i="3"/>
  <c r="AA243" i="3"/>
  <c r="AC243" i="3"/>
  <c r="AE243" i="3"/>
  <c r="AG243" i="3"/>
  <c r="Z244" i="3"/>
  <c r="AB244" i="3"/>
  <c r="AD244" i="3"/>
  <c r="AF244" i="3"/>
  <c r="AH244" i="3"/>
  <c r="Y245" i="3"/>
  <c r="AA245" i="3"/>
  <c r="AC245" i="3"/>
  <c r="AE245" i="3"/>
  <c r="AG245" i="3"/>
  <c r="Z246" i="3"/>
  <c r="AB246" i="3"/>
  <c r="AD246" i="3"/>
  <c r="AF246" i="3"/>
  <c r="AH246" i="3"/>
  <c r="Y247" i="3"/>
  <c r="AA247" i="3"/>
  <c r="AC247" i="3"/>
  <c r="AE247" i="3"/>
  <c r="AB248" i="3"/>
  <c r="AF248" i="3"/>
  <c r="Y249" i="3"/>
  <c r="AA249" i="3"/>
  <c r="AC249" i="3"/>
  <c r="AE249" i="3"/>
  <c r="AG249" i="3"/>
  <c r="AB250" i="3"/>
  <c r="AF250" i="3"/>
  <c r="Y251" i="3"/>
  <c r="AA251" i="3"/>
  <c r="AC251" i="3"/>
  <c r="AE251" i="3"/>
  <c r="AG251" i="3"/>
  <c r="AB252" i="3"/>
  <c r="AF252" i="3"/>
  <c r="Y253" i="3"/>
  <c r="AA253" i="3"/>
  <c r="AC253" i="3"/>
  <c r="AE253" i="3"/>
  <c r="AG253" i="3"/>
  <c r="AB254" i="3"/>
  <c r="AF254" i="3"/>
  <c r="Y255" i="3"/>
  <c r="AA255" i="3"/>
  <c r="AC255" i="3"/>
  <c r="AE255" i="3"/>
  <c r="AG255" i="3"/>
  <c r="AB256" i="3"/>
  <c r="AF256" i="3"/>
  <c r="Y257" i="3"/>
  <c r="AA257" i="3"/>
  <c r="AC257" i="3"/>
  <c r="AE257" i="3"/>
  <c r="AG257" i="3"/>
  <c r="Z258" i="3"/>
  <c r="AB258" i="3"/>
  <c r="AD258" i="3"/>
  <c r="AF258" i="3"/>
  <c r="AH258" i="3"/>
  <c r="Y259" i="3"/>
  <c r="AA259" i="3"/>
  <c r="AC259" i="3"/>
  <c r="AE259" i="3"/>
  <c r="AG259" i="3"/>
  <c r="Z260" i="3"/>
  <c r="AB260" i="3"/>
  <c r="AD260" i="3"/>
  <c r="AF260" i="3"/>
  <c r="AH260" i="3"/>
  <c r="Y261" i="3"/>
  <c r="AA261" i="3"/>
  <c r="AC261" i="3"/>
  <c r="AE261" i="3"/>
  <c r="AG261" i="3"/>
  <c r="Z263" i="3"/>
  <c r="AB262" i="3"/>
  <c r="AD262" i="3"/>
  <c r="AF262" i="3"/>
  <c r="AH262" i="3"/>
  <c r="Y263" i="3"/>
  <c r="AA263" i="3"/>
  <c r="AC263" i="3"/>
  <c r="AE263" i="3"/>
  <c r="AG263" i="3"/>
  <c r="Z264" i="3"/>
  <c r="AB264" i="3"/>
  <c r="AD264" i="3"/>
  <c r="AF264" i="3"/>
  <c r="AH264" i="3"/>
  <c r="Y265" i="3"/>
  <c r="AA265" i="3"/>
  <c r="AC265" i="3"/>
  <c r="AE265" i="3"/>
  <c r="AG265" i="3"/>
  <c r="Z266" i="3"/>
  <c r="AB266" i="3"/>
  <c r="AD266" i="3"/>
  <c r="AF266" i="3"/>
  <c r="AH266" i="3"/>
  <c r="Y267" i="3"/>
  <c r="AA267" i="3"/>
  <c r="AC267" i="3"/>
  <c r="AE267" i="3"/>
  <c r="AG267" i="3"/>
  <c r="Z268" i="3"/>
  <c r="AB268" i="3"/>
  <c r="AD268" i="3"/>
  <c r="AF268" i="3"/>
  <c r="AH268" i="3"/>
  <c r="Y269" i="3"/>
  <c r="AA269" i="3"/>
  <c r="AC269" i="3"/>
  <c r="AE269" i="3"/>
  <c r="AG269" i="3"/>
  <c r="Z270" i="3"/>
  <c r="AB270" i="3"/>
  <c r="AD270" i="3"/>
  <c r="AF270" i="3"/>
  <c r="AH270" i="3"/>
  <c r="Y271" i="3"/>
  <c r="AA271" i="3"/>
  <c r="AC271" i="3"/>
  <c r="AE271" i="3"/>
  <c r="AG271" i="3"/>
  <c r="Z272" i="3"/>
  <c r="AB272" i="3"/>
  <c r="AD272" i="3"/>
  <c r="AF272" i="3"/>
  <c r="AH272" i="3"/>
  <c r="Y273" i="3"/>
  <c r="AA273" i="3"/>
  <c r="AC273" i="3"/>
  <c r="AE273" i="3"/>
  <c r="AG273" i="3"/>
  <c r="Z274" i="3"/>
  <c r="AB274" i="3"/>
  <c r="Y275" i="3"/>
  <c r="AC275" i="3"/>
  <c r="AG275" i="3"/>
  <c r="Y276" i="3"/>
  <c r="AC276" i="3"/>
  <c r="AG276" i="3"/>
  <c r="Y277" i="3"/>
  <c r="AC277" i="3"/>
  <c r="AG277" i="3"/>
  <c r="Y278" i="3"/>
  <c r="AC278" i="3"/>
  <c r="AG278" i="3"/>
  <c r="Y279" i="3"/>
  <c r="AC279" i="3"/>
  <c r="AG279" i="3"/>
  <c r="Y280" i="3"/>
  <c r="AC280" i="3"/>
  <c r="AG280" i="3"/>
  <c r="Y281" i="3"/>
  <c r="AC281" i="3"/>
  <c r="AG281" i="3"/>
  <c r="Y282" i="3"/>
  <c r="AC282" i="3"/>
  <c r="AG282" i="3"/>
  <c r="Y283" i="3"/>
  <c r="AC283" i="3"/>
  <c r="AG283" i="3"/>
  <c r="Z284" i="3"/>
  <c r="AB284" i="3"/>
  <c r="AD284" i="3"/>
  <c r="AF284" i="3"/>
  <c r="AH284" i="3"/>
  <c r="AF267" i="3"/>
  <c r="Y268" i="3"/>
  <c r="AA268" i="3"/>
  <c r="AC268" i="3"/>
  <c r="AE268" i="3"/>
  <c r="AG268" i="3"/>
  <c r="Y270" i="3"/>
  <c r="AA270" i="3"/>
  <c r="AC270" i="3"/>
  <c r="AE270" i="3"/>
  <c r="AG270" i="3"/>
  <c r="Z271" i="3"/>
  <c r="AB271" i="3"/>
  <c r="AD271" i="3"/>
  <c r="AF271" i="3"/>
  <c r="AH271" i="3"/>
  <c r="Y272" i="3"/>
  <c r="AA272" i="3"/>
  <c r="AC272" i="3"/>
  <c r="AE272" i="3"/>
  <c r="AG272" i="3"/>
  <c r="Z273" i="3"/>
  <c r="AB273" i="3"/>
  <c r="AD273" i="3"/>
  <c r="AF273" i="3"/>
  <c r="AH273" i="3"/>
  <c r="Y274" i="3"/>
  <c r="AA274" i="3"/>
  <c r="AC274" i="3"/>
  <c r="AG274" i="3"/>
  <c r="AE274" i="3"/>
  <c r="Z276" i="3"/>
  <c r="AB276" i="3"/>
  <c r="AD276" i="3"/>
  <c r="AF276" i="3"/>
  <c r="AH276" i="3"/>
  <c r="Z277" i="3"/>
  <c r="AB277" i="3"/>
  <c r="AD277" i="3"/>
  <c r="AF277" i="3"/>
  <c r="AH277" i="3"/>
  <c r="Z278" i="3"/>
  <c r="AB278" i="3"/>
  <c r="AD278" i="3"/>
  <c r="AF278" i="3"/>
  <c r="AH278" i="3"/>
  <c r="Z279" i="3"/>
  <c r="AB279" i="3"/>
  <c r="AD279" i="3"/>
  <c r="AF279" i="3"/>
  <c r="AH279" i="3"/>
  <c r="Z280" i="3"/>
  <c r="AB280" i="3"/>
  <c r="AD280" i="3"/>
  <c r="AF280" i="3"/>
  <c r="AH280" i="3"/>
  <c r="Z281" i="3"/>
  <c r="AB281" i="3"/>
  <c r="AD281" i="3"/>
  <c r="AF281" i="3"/>
  <c r="AH281" i="3"/>
  <c r="Z282" i="3"/>
  <c r="AB282" i="3"/>
  <c r="AD282" i="3"/>
  <c r="AF282" i="3"/>
  <c r="AH282" i="3"/>
  <c r="Z283" i="3"/>
  <c r="AB283" i="3"/>
  <c r="AD283" i="3"/>
  <c r="AF283" i="3"/>
  <c r="AH283" i="3"/>
  <c r="Y284" i="3"/>
  <c r="AA284" i="3"/>
  <c r="AC284" i="3"/>
  <c r="AE284" i="3"/>
  <c r="AG284" i="3"/>
  <c r="O26" i="3"/>
  <c r="Q26" i="3"/>
  <c r="S26" i="3"/>
  <c r="U26" i="3"/>
  <c r="W26" i="3"/>
  <c r="AO26" i="3"/>
  <c r="I27" i="3"/>
  <c r="AN27" i="3" s="1"/>
  <c r="G28" i="3"/>
  <c r="N26" i="3"/>
  <c r="P26" i="3"/>
  <c r="R26" i="3"/>
  <c r="T26" i="3"/>
  <c r="V26" i="3"/>
  <c r="AN26" i="3"/>
  <c r="J27" i="3"/>
  <c r="Z159" i="3"/>
  <c r="AD159" i="3"/>
  <c r="AH159" i="3"/>
  <c r="Z161" i="3"/>
  <c r="AD161" i="3"/>
  <c r="AH161" i="3"/>
  <c r="Z163" i="3"/>
  <c r="AD163" i="3"/>
  <c r="AH163" i="3"/>
  <c r="Z165" i="3"/>
  <c r="Y158" i="3"/>
  <c r="AA158" i="3"/>
  <c r="AC158" i="3"/>
  <c r="AE158" i="3"/>
  <c r="AG158" i="3"/>
  <c r="AB165" i="3"/>
  <c r="AD165" i="3"/>
  <c r="AF165" i="3"/>
  <c r="AH165" i="3"/>
  <c r="Z166" i="3"/>
  <c r="AB166" i="3"/>
  <c r="AD166" i="3"/>
  <c r="AF166" i="3"/>
  <c r="AH166" i="3"/>
  <c r="Z192" i="3"/>
  <c r="AD192" i="3"/>
  <c r="AH192" i="3"/>
  <c r="Z194" i="3"/>
  <c r="AD194" i="3"/>
  <c r="AH194" i="3"/>
  <c r="Z196" i="3"/>
  <c r="AD196" i="3"/>
  <c r="AH196" i="3"/>
  <c r="Z198" i="3"/>
  <c r="AD198" i="3"/>
  <c r="AH198" i="3"/>
  <c r="Z200" i="3"/>
  <c r="AD200" i="3"/>
  <c r="AH200" i="3"/>
  <c r="Z202" i="3"/>
  <c r="AD202" i="3"/>
  <c r="AH202" i="3"/>
  <c r="Z204" i="3"/>
  <c r="AD204" i="3"/>
  <c r="AH204" i="3"/>
  <c r="Z206" i="3"/>
  <c r="AD206" i="3"/>
  <c r="AH206" i="3"/>
  <c r="Z208" i="3"/>
  <c r="AD208" i="3"/>
  <c r="AH208" i="3"/>
  <c r="Z210" i="3"/>
  <c r="AD210" i="3"/>
  <c r="AH210" i="3"/>
  <c r="Z212" i="3"/>
  <c r="AD212" i="3"/>
  <c r="AH212" i="3"/>
  <c r="Z214" i="3"/>
  <c r="AD214" i="3"/>
  <c r="AH214" i="3"/>
  <c r="Z216" i="3"/>
  <c r="AD216" i="3"/>
  <c r="AH216" i="3"/>
  <c r="Z218" i="3"/>
  <c r="AD218" i="3"/>
  <c r="AH218" i="3"/>
  <c r="Z220" i="3"/>
  <c r="AD220" i="3"/>
  <c r="AH220" i="3"/>
  <c r="AB224" i="3"/>
  <c r="AF224" i="3"/>
  <c r="AE190" i="3"/>
  <c r="AG190" i="3"/>
  <c r="Y191" i="3"/>
  <c r="AA191" i="3"/>
  <c r="AC191" i="3"/>
  <c r="AE191" i="3"/>
  <c r="AG191" i="3"/>
  <c r="Z223" i="3"/>
  <c r="Z224" i="3"/>
  <c r="AD223" i="3"/>
  <c r="AD224" i="3"/>
  <c r="AH223" i="3"/>
  <c r="AH224" i="3"/>
  <c r="Z226" i="3"/>
  <c r="AD226" i="3"/>
  <c r="AH226" i="3"/>
  <c r="Z228" i="3"/>
  <c r="AD228" i="3"/>
  <c r="AH228" i="3"/>
  <c r="Z230" i="3"/>
  <c r="AD230" i="3"/>
  <c r="AH230" i="3"/>
  <c r="Z232" i="3"/>
  <c r="AB232" i="3"/>
  <c r="AD232" i="3"/>
  <c r="AF232" i="3"/>
  <c r="AH232" i="3"/>
  <c r="AE222" i="3"/>
  <c r="AG222" i="3"/>
  <c r="Y223" i="3"/>
  <c r="AA223" i="3"/>
  <c r="AC223" i="3"/>
  <c r="AE223" i="3"/>
  <c r="AG223" i="3"/>
  <c r="Z247" i="3"/>
  <c r="AD247" i="3"/>
  <c r="AH248" i="3"/>
  <c r="Z250" i="3"/>
  <c r="AD250" i="3"/>
  <c r="AH250" i="3"/>
  <c r="Z252" i="3"/>
  <c r="AD252" i="3"/>
  <c r="AH252" i="3"/>
  <c r="Z254" i="3"/>
  <c r="AD254" i="3"/>
  <c r="AH254" i="3"/>
  <c r="Z256" i="3"/>
  <c r="AD256" i="3"/>
  <c r="AH256" i="3"/>
  <c r="AG247" i="3"/>
  <c r="Z257" i="3"/>
  <c r="AB257" i="3"/>
  <c r="AD257" i="3"/>
  <c r="AF257" i="3"/>
  <c r="AH257" i="3"/>
  <c r="Z262" i="3"/>
  <c r="AD263" i="3"/>
  <c r="AH263" i="3"/>
  <c r="Z265" i="3"/>
  <c r="AD265" i="3"/>
  <c r="AH265" i="3"/>
  <c r="Z267" i="3"/>
  <c r="AD267" i="3"/>
  <c r="AH267" i="3"/>
  <c r="AC262" i="3"/>
  <c r="AE262" i="3"/>
  <c r="AG262" i="3"/>
  <c r="Z269" i="3"/>
  <c r="AB269" i="3"/>
  <c r="AD269" i="3"/>
  <c r="AF269" i="3"/>
  <c r="AH269" i="3"/>
  <c r="J284" i="3"/>
  <c r="AD274" i="3"/>
  <c r="AF274" i="3"/>
  <c r="AH274" i="3"/>
  <c r="Z275" i="3"/>
  <c r="AB275" i="3"/>
  <c r="AD275" i="3"/>
  <c r="AF275" i="3"/>
  <c r="AH275" i="3"/>
  <c r="H284" i="3"/>
  <c r="D7" i="3"/>
  <c r="J28" i="3" l="1"/>
  <c r="AO28" i="3" s="1"/>
  <c r="G29" i="3"/>
  <c r="I28" i="3"/>
  <c r="AO27" i="3"/>
  <c r="L27" i="3"/>
  <c r="D11" i="3"/>
  <c r="L28" i="3" l="1"/>
  <c r="V27" i="3"/>
  <c r="Q27" i="3"/>
  <c r="U27" i="3"/>
  <c r="P27" i="3"/>
  <c r="T27" i="3"/>
  <c r="O27" i="3"/>
  <c r="S27" i="3"/>
  <c r="W27" i="3"/>
  <c r="N27" i="3"/>
  <c r="R27" i="3"/>
  <c r="AN28" i="3"/>
  <c r="J29" i="3"/>
  <c r="G30" i="3"/>
  <c r="I29" i="3"/>
  <c r="AN29" i="3" l="1"/>
  <c r="Y27" i="3"/>
  <c r="AD27" i="3"/>
  <c r="AE27" i="3"/>
  <c r="AF27" i="3"/>
  <c r="AG27" i="3"/>
  <c r="L29" i="3"/>
  <c r="V28" i="3"/>
  <c r="AG28" i="3" s="1"/>
  <c r="R28" i="3"/>
  <c r="AC28" i="3" s="1"/>
  <c r="N28" i="3"/>
  <c r="Y28" i="3" s="1"/>
  <c r="U28" i="3"/>
  <c r="AF28" i="3" s="1"/>
  <c r="Q28" i="3"/>
  <c r="AB28" i="3" s="1"/>
  <c r="T28" i="3"/>
  <c r="AE28" i="3" s="1"/>
  <c r="P28" i="3"/>
  <c r="AA28" i="3" s="1"/>
  <c r="W28" i="3"/>
  <c r="AH28" i="3" s="1"/>
  <c r="S28" i="3"/>
  <c r="AD28" i="3" s="1"/>
  <c r="O28" i="3"/>
  <c r="J30" i="3"/>
  <c r="AO30" i="3" s="1"/>
  <c r="G31" i="3"/>
  <c r="I30" i="3"/>
  <c r="AO29" i="3"/>
  <c r="AC27" i="3"/>
  <c r="AH27" i="3"/>
  <c r="Z27" i="3"/>
  <c r="AA27" i="3"/>
  <c r="AB27" i="3"/>
  <c r="Z28" i="3" l="1"/>
  <c r="J31" i="3"/>
  <c r="G32" i="3"/>
  <c r="I31" i="3"/>
  <c r="AN30" i="3"/>
  <c r="L30" i="3"/>
  <c r="T29" i="3"/>
  <c r="AE29" i="3" s="1"/>
  <c r="P29" i="3"/>
  <c r="Q29" i="3"/>
  <c r="V29" i="3"/>
  <c r="AG29" i="3" s="1"/>
  <c r="R29" i="3"/>
  <c r="N29" i="3"/>
  <c r="Y29" i="3" s="1"/>
  <c r="W29" i="3"/>
  <c r="S29" i="3"/>
  <c r="AD29" i="3" s="1"/>
  <c r="O29" i="3"/>
  <c r="U29" i="3"/>
  <c r="AF29" i="3" s="1"/>
  <c r="AH29" i="3" l="1"/>
  <c r="L31" i="3"/>
  <c r="V30" i="3"/>
  <c r="R30" i="3"/>
  <c r="AC30" i="3" s="1"/>
  <c r="N30" i="3"/>
  <c r="W30" i="3"/>
  <c r="AH30" i="3" s="1"/>
  <c r="S30" i="3"/>
  <c r="O30" i="3"/>
  <c r="T30" i="3"/>
  <c r="P30" i="3"/>
  <c r="AA30" i="3" s="1"/>
  <c r="U30" i="3"/>
  <c r="Q30" i="3"/>
  <c r="AB30" i="3" s="1"/>
  <c r="Z29" i="3"/>
  <c r="AC29" i="3"/>
  <c r="AB29" i="3"/>
  <c r="AA29" i="3"/>
  <c r="AN31" i="3"/>
  <c r="J32" i="3"/>
  <c r="G33" i="3"/>
  <c r="I32" i="3"/>
  <c r="AO31" i="3"/>
  <c r="Z30" i="3" l="1"/>
  <c r="AN32" i="3"/>
  <c r="J33" i="3"/>
  <c r="AO33" i="3" s="1"/>
  <c r="G34" i="3"/>
  <c r="I33" i="3"/>
  <c r="AO32" i="3"/>
  <c r="AF30" i="3"/>
  <c r="AE30" i="3"/>
  <c r="AD30" i="3"/>
  <c r="Y30" i="3"/>
  <c r="AG30" i="3"/>
  <c r="L32" i="3"/>
  <c r="T31" i="3"/>
  <c r="AE31" i="3" s="1"/>
  <c r="P31" i="3"/>
  <c r="U31" i="3"/>
  <c r="AF31" i="3" s="1"/>
  <c r="Q31" i="3"/>
  <c r="V31" i="3"/>
  <c r="AG31" i="3" s="1"/>
  <c r="R31" i="3"/>
  <c r="N31" i="3"/>
  <c r="Y31" i="3" s="1"/>
  <c r="W31" i="3"/>
  <c r="AH31" i="3" s="1"/>
  <c r="S31" i="3"/>
  <c r="AD31" i="3" s="1"/>
  <c r="O31" i="3"/>
  <c r="Z31" i="3" l="1"/>
  <c r="AC31" i="3"/>
  <c r="AB31" i="3"/>
  <c r="AA31" i="3"/>
  <c r="AN33" i="3"/>
  <c r="J34" i="3"/>
  <c r="G35" i="3"/>
  <c r="I34" i="3"/>
  <c r="L33" i="3"/>
  <c r="V32" i="3"/>
  <c r="AG32" i="3" s="1"/>
  <c r="R32" i="3"/>
  <c r="AC32" i="3" s="1"/>
  <c r="N32" i="3"/>
  <c r="Y32" i="3" s="1"/>
  <c r="T32" i="3"/>
  <c r="AE32" i="3" s="1"/>
  <c r="P32" i="3"/>
  <c r="AA32" i="3" s="1"/>
  <c r="U32" i="3"/>
  <c r="AF32" i="3" s="1"/>
  <c r="Q32" i="3"/>
  <c r="AB32" i="3" s="1"/>
  <c r="W32" i="3"/>
  <c r="AH32" i="3" s="1"/>
  <c r="S32" i="3"/>
  <c r="AD32" i="3" s="1"/>
  <c r="O32" i="3"/>
  <c r="Z32" i="3" l="1"/>
  <c r="L34" i="3"/>
  <c r="V33" i="3"/>
  <c r="AG33" i="3" s="1"/>
  <c r="R33" i="3"/>
  <c r="AC33" i="3" s="1"/>
  <c r="N33" i="3"/>
  <c r="Y33" i="3" s="1"/>
  <c r="W33" i="3"/>
  <c r="AH33" i="3" s="1"/>
  <c r="S33" i="3"/>
  <c r="AD33" i="3" s="1"/>
  <c r="O33" i="3"/>
  <c r="T33" i="3"/>
  <c r="AE33" i="3" s="1"/>
  <c r="P33" i="3"/>
  <c r="AA33" i="3" s="1"/>
  <c r="U33" i="3"/>
  <c r="AF33" i="3" s="1"/>
  <c r="Q33" i="3"/>
  <c r="AB33" i="3" s="1"/>
  <c r="AN34" i="3"/>
  <c r="J35" i="3"/>
  <c r="AO35" i="3" s="1"/>
  <c r="G36" i="3"/>
  <c r="I35" i="3"/>
  <c r="AO34" i="3"/>
  <c r="Z33" i="3" l="1"/>
  <c r="J36" i="3"/>
  <c r="AO36" i="3" s="1"/>
  <c r="G37" i="3"/>
  <c r="I36" i="3"/>
  <c r="AN35" i="3"/>
  <c r="L35" i="3"/>
  <c r="T34" i="3"/>
  <c r="AE34" i="3" s="1"/>
  <c r="P34" i="3"/>
  <c r="AA34" i="3" s="1"/>
  <c r="U34" i="3"/>
  <c r="AF34" i="3" s="1"/>
  <c r="Q34" i="3"/>
  <c r="AB34" i="3" s="1"/>
  <c r="V34" i="3"/>
  <c r="AG34" i="3" s="1"/>
  <c r="R34" i="3"/>
  <c r="AC34" i="3" s="1"/>
  <c r="N34" i="3"/>
  <c r="Y34" i="3" s="1"/>
  <c r="W34" i="3"/>
  <c r="AH34" i="3" s="1"/>
  <c r="S34" i="3"/>
  <c r="AD34" i="3" s="1"/>
  <c r="O34" i="3"/>
  <c r="Z34" i="3" l="1"/>
  <c r="L36" i="3"/>
  <c r="V35" i="3"/>
  <c r="AG35" i="3" s="1"/>
  <c r="R35" i="3"/>
  <c r="AC35" i="3" s="1"/>
  <c r="N35" i="3"/>
  <c r="Y35" i="3" s="1"/>
  <c r="W35" i="3"/>
  <c r="AH35" i="3" s="1"/>
  <c r="S35" i="3"/>
  <c r="AD35" i="3" s="1"/>
  <c r="O35" i="3"/>
  <c r="Z35" i="3" s="1"/>
  <c r="T35" i="3"/>
  <c r="AE35" i="3" s="1"/>
  <c r="P35" i="3"/>
  <c r="AA35" i="3" s="1"/>
  <c r="U35" i="3"/>
  <c r="AF35" i="3" s="1"/>
  <c r="Q35" i="3"/>
  <c r="AB35" i="3" s="1"/>
  <c r="J37" i="3"/>
  <c r="AO37" i="3" s="1"/>
  <c r="G38" i="3"/>
  <c r="I37" i="3"/>
  <c r="AN36" i="3"/>
  <c r="AN37" i="3" l="1"/>
  <c r="J38" i="3"/>
  <c r="AO38" i="3" s="1"/>
  <c r="G39" i="3"/>
  <c r="I38" i="3"/>
  <c r="L37" i="3"/>
  <c r="V36" i="3"/>
  <c r="AG36" i="3" s="1"/>
  <c r="R36" i="3"/>
  <c r="AC36" i="3" s="1"/>
  <c r="N36" i="3"/>
  <c r="Y36" i="3" s="1"/>
  <c r="W36" i="3"/>
  <c r="AH36" i="3" s="1"/>
  <c r="S36" i="3"/>
  <c r="AD36" i="3" s="1"/>
  <c r="O36" i="3"/>
  <c r="Z36" i="3" s="1"/>
  <c r="T36" i="3"/>
  <c r="AE36" i="3" s="1"/>
  <c r="P36" i="3"/>
  <c r="AA36" i="3" s="1"/>
  <c r="U36" i="3"/>
  <c r="AF36" i="3" s="1"/>
  <c r="Q36" i="3"/>
  <c r="AB36" i="3" s="1"/>
  <c r="L38" i="3" l="1"/>
  <c r="V37" i="3"/>
  <c r="AG37" i="3" s="1"/>
  <c r="R37" i="3"/>
  <c r="AC37" i="3" s="1"/>
  <c r="N37" i="3"/>
  <c r="Y37" i="3" s="1"/>
  <c r="W37" i="3"/>
  <c r="AH37" i="3" s="1"/>
  <c r="S37" i="3"/>
  <c r="AD37" i="3" s="1"/>
  <c r="O37" i="3"/>
  <c r="Z37" i="3" s="1"/>
  <c r="T37" i="3"/>
  <c r="AE37" i="3" s="1"/>
  <c r="P37" i="3"/>
  <c r="AA37" i="3" s="1"/>
  <c r="U37" i="3"/>
  <c r="AF37" i="3" s="1"/>
  <c r="Q37" i="3"/>
  <c r="AB37" i="3" s="1"/>
  <c r="AN38" i="3"/>
  <c r="J39" i="3"/>
  <c r="AO39" i="3" s="1"/>
  <c r="G40" i="3"/>
  <c r="I39" i="3"/>
  <c r="L39" i="3" l="1"/>
  <c r="V38" i="3"/>
  <c r="AG38" i="3" s="1"/>
  <c r="R38" i="3"/>
  <c r="AC38" i="3" s="1"/>
  <c r="N38" i="3"/>
  <c r="Y38" i="3" s="1"/>
  <c r="W38" i="3"/>
  <c r="AH38" i="3" s="1"/>
  <c r="S38" i="3"/>
  <c r="AD38" i="3" s="1"/>
  <c r="O38" i="3"/>
  <c r="T38" i="3"/>
  <c r="AE38" i="3" s="1"/>
  <c r="P38" i="3"/>
  <c r="AA38" i="3" s="1"/>
  <c r="U38" i="3"/>
  <c r="AF38" i="3" s="1"/>
  <c r="Q38" i="3"/>
  <c r="AB38" i="3" s="1"/>
  <c r="AN39" i="3"/>
  <c r="J40" i="3"/>
  <c r="AO40" i="3" s="1"/>
  <c r="G41" i="3"/>
  <c r="I40" i="3"/>
  <c r="AN40" i="3" s="1"/>
  <c r="Z38" i="3" l="1"/>
  <c r="L40" i="3"/>
  <c r="T39" i="3"/>
  <c r="AE39" i="3" s="1"/>
  <c r="P39" i="3"/>
  <c r="AA39" i="3" s="1"/>
  <c r="U39" i="3"/>
  <c r="AF39" i="3" s="1"/>
  <c r="Q39" i="3"/>
  <c r="AB39" i="3" s="1"/>
  <c r="V39" i="3"/>
  <c r="AG39" i="3" s="1"/>
  <c r="R39" i="3"/>
  <c r="AC39" i="3" s="1"/>
  <c r="N39" i="3"/>
  <c r="Y39" i="3" s="1"/>
  <c r="W39" i="3"/>
  <c r="AH39" i="3" s="1"/>
  <c r="S39" i="3"/>
  <c r="AD39" i="3" s="1"/>
  <c r="O39" i="3"/>
  <c r="J41" i="3"/>
  <c r="AO41" i="3" s="1"/>
  <c r="G42" i="3"/>
  <c r="I41" i="3"/>
  <c r="AN41" i="3" s="1"/>
  <c r="Z39" i="3" l="1"/>
  <c r="J42" i="3"/>
  <c r="AO42" i="3" s="1"/>
  <c r="G43" i="3"/>
  <c r="I42" i="3"/>
  <c r="L41" i="3"/>
  <c r="T40" i="3"/>
  <c r="AE40" i="3" s="1"/>
  <c r="P40" i="3"/>
  <c r="AA40" i="3" s="1"/>
  <c r="U40" i="3"/>
  <c r="AF40" i="3" s="1"/>
  <c r="Q40" i="3"/>
  <c r="AB40" i="3" s="1"/>
  <c r="V40" i="3"/>
  <c r="AG40" i="3" s="1"/>
  <c r="R40" i="3"/>
  <c r="AC40" i="3" s="1"/>
  <c r="N40" i="3"/>
  <c r="Y40" i="3" s="1"/>
  <c r="W40" i="3"/>
  <c r="AH40" i="3" s="1"/>
  <c r="S40" i="3"/>
  <c r="AD40" i="3" s="1"/>
  <c r="O40" i="3"/>
  <c r="Z40" i="3" s="1"/>
  <c r="J43" i="3" l="1"/>
  <c r="AO43" i="3" s="1"/>
  <c r="G44" i="3"/>
  <c r="I43" i="3"/>
  <c r="AN42" i="3"/>
  <c r="L42" i="3"/>
  <c r="V41" i="3"/>
  <c r="AG41" i="3" s="1"/>
  <c r="R41" i="3"/>
  <c r="AC41" i="3" s="1"/>
  <c r="N41" i="3"/>
  <c r="Y41" i="3" s="1"/>
  <c r="W41" i="3"/>
  <c r="AH41" i="3" s="1"/>
  <c r="S41" i="3"/>
  <c r="AD41" i="3" s="1"/>
  <c r="O41" i="3"/>
  <c r="Z41" i="3" s="1"/>
  <c r="T41" i="3"/>
  <c r="AE41" i="3" s="1"/>
  <c r="P41" i="3"/>
  <c r="AA41" i="3" s="1"/>
  <c r="U41" i="3"/>
  <c r="AF41" i="3" s="1"/>
  <c r="Q41" i="3"/>
  <c r="AB41" i="3" s="1"/>
  <c r="L43" i="3" l="1"/>
  <c r="V42" i="3"/>
  <c r="AG42" i="3" s="1"/>
  <c r="R42" i="3"/>
  <c r="AC42" i="3" s="1"/>
  <c r="N42" i="3"/>
  <c r="Y42" i="3" s="1"/>
  <c r="W42" i="3"/>
  <c r="AH42" i="3" s="1"/>
  <c r="S42" i="3"/>
  <c r="AD42" i="3" s="1"/>
  <c r="O42" i="3"/>
  <c r="Z42" i="3" s="1"/>
  <c r="T42" i="3"/>
  <c r="AE42" i="3" s="1"/>
  <c r="P42" i="3"/>
  <c r="AA42" i="3" s="1"/>
  <c r="U42" i="3"/>
  <c r="AF42" i="3" s="1"/>
  <c r="Q42" i="3"/>
  <c r="AB42" i="3" s="1"/>
  <c r="AN43" i="3"/>
  <c r="J44" i="3"/>
  <c r="AO44" i="3" s="1"/>
  <c r="G45" i="3"/>
  <c r="I44" i="3"/>
  <c r="J45" i="3" l="1"/>
  <c r="AO45" i="3" s="1"/>
  <c r="G46" i="3"/>
  <c r="I45" i="3"/>
  <c r="AN44" i="3"/>
  <c r="L44" i="3"/>
  <c r="T43" i="3"/>
  <c r="AE43" i="3" s="1"/>
  <c r="P43" i="3"/>
  <c r="AA43" i="3" s="1"/>
  <c r="U43" i="3"/>
  <c r="AF43" i="3" s="1"/>
  <c r="Q43" i="3"/>
  <c r="AB43" i="3" s="1"/>
  <c r="V43" i="3"/>
  <c r="AG43" i="3" s="1"/>
  <c r="R43" i="3"/>
  <c r="AC43" i="3" s="1"/>
  <c r="N43" i="3"/>
  <c r="Y43" i="3" s="1"/>
  <c r="W43" i="3"/>
  <c r="AH43" i="3" s="1"/>
  <c r="S43" i="3"/>
  <c r="AD43" i="3" s="1"/>
  <c r="O43" i="3"/>
  <c r="Z43" i="3" s="1"/>
  <c r="L45" i="3" l="1"/>
  <c r="V44" i="3"/>
  <c r="AG44" i="3" s="1"/>
  <c r="R44" i="3"/>
  <c r="AC44" i="3" s="1"/>
  <c r="N44" i="3"/>
  <c r="Y44" i="3" s="1"/>
  <c r="W44" i="3"/>
  <c r="AH44" i="3" s="1"/>
  <c r="S44" i="3"/>
  <c r="AD44" i="3" s="1"/>
  <c r="O44" i="3"/>
  <c r="Z44" i="3" s="1"/>
  <c r="T44" i="3"/>
  <c r="AE44" i="3" s="1"/>
  <c r="P44" i="3"/>
  <c r="AA44" i="3" s="1"/>
  <c r="U44" i="3"/>
  <c r="AF44" i="3" s="1"/>
  <c r="Q44" i="3"/>
  <c r="AB44" i="3" s="1"/>
  <c r="AN45" i="3"/>
  <c r="J46" i="3"/>
  <c r="AO46" i="3" s="1"/>
  <c r="G47" i="3"/>
  <c r="G48" i="3" l="1"/>
  <c r="T45" i="3"/>
  <c r="AE45" i="3" s="1"/>
  <c r="P45" i="3"/>
  <c r="AA45" i="3" s="1"/>
  <c r="U45" i="3"/>
  <c r="AF45" i="3" s="1"/>
  <c r="Q45" i="3"/>
  <c r="AB45" i="3" s="1"/>
  <c r="V45" i="3"/>
  <c r="AG45" i="3" s="1"/>
  <c r="R45" i="3"/>
  <c r="AC45" i="3" s="1"/>
  <c r="N45" i="3"/>
  <c r="Y45" i="3" s="1"/>
  <c r="W45" i="3"/>
  <c r="AH45" i="3" s="1"/>
  <c r="S45" i="3"/>
  <c r="AD45" i="3" s="1"/>
  <c r="O45" i="3"/>
  <c r="Z45" i="3" s="1"/>
  <c r="G49" i="3" l="1"/>
  <c r="G50" i="3" l="1"/>
  <c r="G51" i="3" l="1"/>
  <c r="G52" i="3" l="1"/>
  <c r="G53" i="3" l="1"/>
  <c r="G54" i="3" l="1"/>
  <c r="G55" i="3" l="1"/>
  <c r="G56" i="3" l="1"/>
  <c r="G57" i="3" l="1"/>
  <c r="G58" i="3" l="1"/>
  <c r="G59" i="3" l="1"/>
  <c r="G60" i="3" l="1"/>
  <c r="G61" i="3" l="1"/>
  <c r="G62" i="3" l="1"/>
  <c r="G63" i="3" l="1"/>
  <c r="G64" i="3" l="1"/>
  <c r="G65" i="3" l="1"/>
  <c r="G66" i="3" l="1"/>
  <c r="G67" i="3" l="1"/>
  <c r="G68" i="3" l="1"/>
  <c r="G69" i="3" l="1"/>
  <c r="G70" i="3" l="1"/>
  <c r="G71" i="3" l="1"/>
  <c r="G72" i="3" l="1"/>
  <c r="G73" i="3" l="1"/>
  <c r="G74" i="3" l="1"/>
  <c r="G75" i="3" l="1"/>
  <c r="G76" i="3" l="1"/>
  <c r="G77" i="3" l="1"/>
  <c r="G78" i="3" l="1"/>
  <c r="G79" i="3" l="1"/>
  <c r="G80" i="3" l="1"/>
  <c r="G81" i="3" l="1"/>
  <c r="G82" i="3" l="1"/>
  <c r="G83" i="3" l="1"/>
  <c r="G84" i="3" l="1"/>
  <c r="G85" i="3" l="1"/>
  <c r="G86" i="3" l="1"/>
  <c r="G87" i="3" l="1"/>
  <c r="G88" i="3" l="1"/>
  <c r="G89" i="3" l="1"/>
  <c r="G90" i="3" l="1"/>
  <c r="G91" i="3" l="1"/>
  <c r="G92" i="3" l="1"/>
  <c r="G93" i="3" l="1"/>
  <c r="G94" i="3" l="1"/>
  <c r="G95" i="3" l="1"/>
  <c r="G96" i="3" l="1"/>
  <c r="G97" i="3" l="1"/>
  <c r="G98" i="3" l="1"/>
  <c r="G99" i="3" l="1"/>
  <c r="G100" i="3" l="1"/>
  <c r="G101" i="3" l="1"/>
  <c r="G102" i="3" l="1"/>
  <c r="G103" i="3" l="1"/>
  <c r="G104" i="3" l="1"/>
  <c r="G105" i="3" l="1"/>
  <c r="G106" i="3" l="1"/>
  <c r="G107" i="3" l="1"/>
  <c r="G108" i="3" s="1"/>
  <c r="G109" i="3" l="1"/>
  <c r="G110" i="3" l="1"/>
  <c r="G111" i="3" l="1"/>
  <c r="G112" i="3" l="1"/>
  <c r="G113" i="3" l="1"/>
  <c r="G114" i="3" l="1"/>
  <c r="G115" i="3" l="1"/>
  <c r="G116" i="3" l="1"/>
  <c r="G117" i="3" l="1"/>
  <c r="G118" i="3" l="1"/>
  <c r="H26" i="3" l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I46" i="3" l="1"/>
  <c r="AN46" i="3" l="1"/>
  <c r="L46" i="3"/>
  <c r="J47" i="3"/>
  <c r="AO47" i="3" s="1"/>
  <c r="H46" i="3"/>
  <c r="I47" i="3" s="1"/>
  <c r="P46" i="3"/>
  <c r="W46" i="3"/>
  <c r="V46" i="3"/>
  <c r="N46" i="3"/>
  <c r="O46" i="3"/>
  <c r="U46" i="3"/>
  <c r="Q46" i="3"/>
  <c r="T46" i="3"/>
  <c r="S46" i="3"/>
  <c r="N47" i="3"/>
  <c r="R46" i="3"/>
  <c r="N48" i="3"/>
  <c r="N49" i="3"/>
  <c r="N50" i="3"/>
  <c r="N51" i="3"/>
  <c r="N52" i="3"/>
  <c r="N53" i="3"/>
  <c r="N54" i="3"/>
  <c r="N55" i="3" s="1"/>
  <c r="N56" i="3"/>
  <c r="Y56" i="3" l="1"/>
  <c r="Y55" i="3"/>
  <c r="Y54" i="3"/>
  <c r="Y53" i="3"/>
  <c r="Y52" i="3"/>
  <c r="Y51" i="3"/>
  <c r="Y50" i="3"/>
  <c r="Y49" i="3"/>
  <c r="Y48" i="3"/>
  <c r="Y47" i="3"/>
  <c r="AH46" i="3"/>
  <c r="AC46" i="3"/>
  <c r="Z46" i="3"/>
  <c r="AB46" i="3"/>
  <c r="Y46" i="3"/>
  <c r="AE46" i="3"/>
  <c r="AA46" i="3"/>
  <c r="AG46" i="3"/>
  <c r="AD46" i="3"/>
  <c r="AF46" i="3"/>
  <c r="J48" i="3"/>
  <c r="AO48" i="3" s="1"/>
  <c r="H47" i="3"/>
  <c r="AN47" i="3"/>
  <c r="L47" i="3"/>
  <c r="N57" i="3"/>
  <c r="O47" i="3"/>
  <c r="R47" i="3"/>
  <c r="P47" i="3"/>
  <c r="T47" i="3"/>
  <c r="S47" i="3"/>
  <c r="V47" i="3"/>
  <c r="W47" i="3"/>
  <c r="Q47" i="3"/>
  <c r="N58" i="3"/>
  <c r="U47" i="3"/>
  <c r="Y57" i="3" l="1"/>
  <c r="AF47" i="3"/>
  <c r="AD47" i="3"/>
  <c r="AG47" i="3"/>
  <c r="AA47" i="3"/>
  <c r="AE47" i="3"/>
  <c r="AB47" i="3"/>
  <c r="Z47" i="3"/>
  <c r="AC47" i="3"/>
  <c r="AH47" i="3"/>
  <c r="I48" i="3"/>
  <c r="Y58" i="3"/>
  <c r="N59" i="3"/>
  <c r="AN48" i="3" l="1"/>
  <c r="J49" i="3"/>
  <c r="AO49" i="3" s="1"/>
  <c r="H48" i="3"/>
  <c r="I49" i="3" s="1"/>
  <c r="L48" i="3"/>
  <c r="Y59" i="3"/>
  <c r="U48" i="3"/>
  <c r="Q48" i="3"/>
  <c r="S48" i="3"/>
  <c r="V48" i="3"/>
  <c r="T48" i="3"/>
  <c r="N60" i="3"/>
  <c r="P48" i="3"/>
  <c r="W48" i="3"/>
  <c r="O48" i="3"/>
  <c r="R48" i="3"/>
  <c r="AH48" i="3" l="1"/>
  <c r="AC48" i="3"/>
  <c r="Z48" i="3"/>
  <c r="AB48" i="3"/>
  <c r="AE48" i="3"/>
  <c r="AA48" i="3"/>
  <c r="AG48" i="3"/>
  <c r="AD48" i="3"/>
  <c r="AF48" i="3"/>
  <c r="J50" i="3"/>
  <c r="AO50" i="3" s="1"/>
  <c r="L49" i="3"/>
  <c r="AN49" i="3"/>
  <c r="H49" i="3"/>
  <c r="Y60" i="3"/>
  <c r="W49" i="3"/>
  <c r="P49" i="3"/>
  <c r="T49" i="3"/>
  <c r="U49" i="3"/>
  <c r="S49" i="3"/>
  <c r="V49" i="3"/>
  <c r="N61" i="3"/>
  <c r="Q49" i="3"/>
  <c r="O49" i="3"/>
  <c r="R49" i="3"/>
  <c r="AF49" i="3" l="1"/>
  <c r="AD49" i="3"/>
  <c r="AG49" i="3"/>
  <c r="AA49" i="3"/>
  <c r="AE49" i="3"/>
  <c r="AB49" i="3"/>
  <c r="Z49" i="3"/>
  <c r="AC49" i="3"/>
  <c r="AH49" i="3"/>
  <c r="I50" i="3"/>
  <c r="L50" i="3" s="1"/>
  <c r="Y61" i="3"/>
  <c r="O50" i="3"/>
  <c r="Q50" i="3"/>
  <c r="P50" i="3"/>
  <c r="N62" i="3"/>
  <c r="R50" i="3"/>
  <c r="U50" i="3"/>
  <c r="V50" i="3"/>
  <c r="T50" i="3"/>
  <c r="S50" i="3"/>
  <c r="W50" i="3"/>
  <c r="AH50" i="3" l="1"/>
  <c r="AC50" i="3"/>
  <c r="Z50" i="3"/>
  <c r="AB50" i="3"/>
  <c r="AE50" i="3"/>
  <c r="AA50" i="3"/>
  <c r="AG50" i="3"/>
  <c r="AD50" i="3"/>
  <c r="AF50" i="3"/>
  <c r="AN50" i="3"/>
  <c r="J51" i="3"/>
  <c r="AO51" i="3" s="1"/>
  <c r="H50" i="3"/>
  <c r="Y62" i="3"/>
  <c r="N63" i="3"/>
  <c r="I51" i="3" l="1"/>
  <c r="H51" i="3" s="1"/>
  <c r="Y63" i="3"/>
  <c r="N64" i="3"/>
  <c r="I52" i="3" l="1"/>
  <c r="H52" i="3" s="1"/>
  <c r="L51" i="3"/>
  <c r="J52" i="3"/>
  <c r="AN51" i="3"/>
  <c r="Y64" i="3"/>
  <c r="W51" i="3"/>
  <c r="P51" i="3"/>
  <c r="Q51" i="3"/>
  <c r="U51" i="3"/>
  <c r="V51" i="3"/>
  <c r="R51" i="3"/>
  <c r="O51" i="3"/>
  <c r="T51" i="3"/>
  <c r="N65" i="3"/>
  <c r="S51" i="3"/>
  <c r="AF51" i="3" l="1"/>
  <c r="AD51" i="3"/>
  <c r="AG51" i="3"/>
  <c r="AA51" i="3"/>
  <c r="AE51" i="3"/>
  <c r="AB51" i="3"/>
  <c r="Z51" i="3"/>
  <c r="AC51" i="3"/>
  <c r="AH51" i="3"/>
  <c r="L52" i="3"/>
  <c r="AO52" i="3"/>
  <c r="J53" i="3"/>
  <c r="I53" i="3"/>
  <c r="H53" i="3" s="1"/>
  <c r="AN52" i="3"/>
  <c r="Y65" i="3"/>
  <c r="V52" i="3"/>
  <c r="U52" i="3"/>
  <c r="N66" i="3"/>
  <c r="W52" i="3"/>
  <c r="Q52" i="3"/>
  <c r="R52" i="3"/>
  <c r="S52" i="3"/>
  <c r="O52" i="3"/>
  <c r="T52" i="3"/>
  <c r="P52" i="3"/>
  <c r="AH52" i="3" l="1"/>
  <c r="AC52" i="3"/>
  <c r="Z52" i="3"/>
  <c r="AB52" i="3"/>
  <c r="AE52" i="3"/>
  <c r="AA52" i="3"/>
  <c r="AG52" i="3"/>
  <c r="AD52" i="3"/>
  <c r="AF52" i="3"/>
  <c r="L53" i="3"/>
  <c r="AO53" i="3"/>
  <c r="J54" i="3"/>
  <c r="I54" i="3"/>
  <c r="H54" i="3" s="1"/>
  <c r="AN53" i="3"/>
  <c r="Y66" i="3"/>
  <c r="N67" i="3"/>
  <c r="T53" i="3"/>
  <c r="P53" i="3"/>
  <c r="S53" i="3"/>
  <c r="U53" i="3"/>
  <c r="Q53" i="3"/>
  <c r="O53" i="3"/>
  <c r="W53" i="3"/>
  <c r="R53" i="3"/>
  <c r="V53" i="3"/>
  <c r="AF53" i="3" l="1"/>
  <c r="AD53" i="3"/>
  <c r="AG53" i="3"/>
  <c r="AA53" i="3"/>
  <c r="AE53" i="3"/>
  <c r="AB53" i="3"/>
  <c r="Z53" i="3"/>
  <c r="AC53" i="3"/>
  <c r="AH53" i="3"/>
  <c r="L54" i="3"/>
  <c r="AO54" i="3"/>
  <c r="J55" i="3"/>
  <c r="AN54" i="3"/>
  <c r="I55" i="3"/>
  <c r="H55" i="3" s="1"/>
  <c r="Y67" i="3"/>
  <c r="N68" i="3"/>
  <c r="T54" i="3"/>
  <c r="W54" i="3"/>
  <c r="P54" i="3"/>
  <c r="V54" i="3"/>
  <c r="U54" i="3"/>
  <c r="S54" i="3"/>
  <c r="O54" i="3"/>
  <c r="Q54" i="3"/>
  <c r="R54" i="3"/>
  <c r="I56" i="3" l="1"/>
  <c r="H56" i="3" s="1"/>
  <c r="AH54" i="3"/>
  <c r="AC54" i="3"/>
  <c r="Z54" i="3"/>
  <c r="AB54" i="3"/>
  <c r="AE54" i="3"/>
  <c r="AA54" i="3"/>
  <c r="AG54" i="3"/>
  <c r="AD54" i="3"/>
  <c r="AF54" i="3"/>
  <c r="AN55" i="3"/>
  <c r="AO55" i="3"/>
  <c r="J56" i="3"/>
  <c r="L55" i="3"/>
  <c r="Y68" i="3"/>
  <c r="N69" i="3"/>
  <c r="U55" i="3"/>
  <c r="S55" i="3"/>
  <c r="O55" i="3"/>
  <c r="W55" i="3"/>
  <c r="R55" i="3"/>
  <c r="V55" i="3"/>
  <c r="T55" i="3"/>
  <c r="P55" i="3"/>
  <c r="Q55" i="3"/>
  <c r="AN56" i="3" l="1"/>
  <c r="AF55" i="3"/>
  <c r="AD55" i="3"/>
  <c r="AG55" i="3"/>
  <c r="AA55" i="3"/>
  <c r="AE55" i="3"/>
  <c r="AB55" i="3"/>
  <c r="Z55" i="3"/>
  <c r="AC55" i="3"/>
  <c r="AH55" i="3"/>
  <c r="AO56" i="3"/>
  <c r="J57" i="3"/>
  <c r="AO57" i="3" s="1"/>
  <c r="I57" i="3"/>
  <c r="L56" i="3"/>
  <c r="Y69" i="3"/>
  <c r="N70" i="3"/>
  <c r="Q56" i="3"/>
  <c r="V56" i="3"/>
  <c r="R56" i="3"/>
  <c r="O56" i="3"/>
  <c r="S56" i="3"/>
  <c r="U56" i="3"/>
  <c r="P56" i="3"/>
  <c r="W56" i="3"/>
  <c r="T56" i="3"/>
  <c r="AH56" i="3" l="1"/>
  <c r="AC56" i="3"/>
  <c r="Z56" i="3"/>
  <c r="AB56" i="3"/>
  <c r="AE56" i="3"/>
  <c r="AA56" i="3"/>
  <c r="AG56" i="3"/>
  <c r="AD56" i="3"/>
  <c r="AF56" i="3"/>
  <c r="H57" i="3"/>
  <c r="I58" i="3" s="1"/>
  <c r="AN57" i="3"/>
  <c r="L57" i="3"/>
  <c r="J58" i="3"/>
  <c r="Y70" i="3"/>
  <c r="N71" i="3"/>
  <c r="T57" i="3"/>
  <c r="R57" i="3"/>
  <c r="W57" i="3"/>
  <c r="O57" i="3"/>
  <c r="U57" i="3"/>
  <c r="V57" i="3"/>
  <c r="Q57" i="3"/>
  <c r="P57" i="3"/>
  <c r="S57" i="3"/>
  <c r="AF57" i="3" l="1"/>
  <c r="AD57" i="3"/>
  <c r="AG57" i="3"/>
  <c r="AA57" i="3"/>
  <c r="AE57" i="3"/>
  <c r="AB57" i="3"/>
  <c r="Z57" i="3"/>
  <c r="AC57" i="3"/>
  <c r="AH57" i="3"/>
  <c r="L58" i="3"/>
  <c r="AO58" i="3"/>
  <c r="J59" i="3"/>
  <c r="H58" i="3"/>
  <c r="I59" i="3" s="1"/>
  <c r="AN59" i="3" s="1"/>
  <c r="AN58" i="3"/>
  <c r="Y71" i="3"/>
  <c r="N72" i="3"/>
  <c r="R58" i="3"/>
  <c r="W58" i="3"/>
  <c r="O58" i="3"/>
  <c r="S58" i="3"/>
  <c r="P58" i="3"/>
  <c r="U58" i="3"/>
  <c r="Q58" i="3"/>
  <c r="T58" i="3"/>
  <c r="V58" i="3"/>
  <c r="AH58" i="3" l="1"/>
  <c r="AC58" i="3"/>
  <c r="Z58" i="3"/>
  <c r="AB58" i="3"/>
  <c r="AE58" i="3"/>
  <c r="AA58" i="3"/>
  <c r="AG58" i="3"/>
  <c r="AD58" i="3"/>
  <c r="AF58" i="3"/>
  <c r="H59" i="3"/>
  <c r="I60" i="3" s="1"/>
  <c r="L59" i="3"/>
  <c r="AO59" i="3"/>
  <c r="J60" i="3"/>
  <c r="AO60" i="3" s="1"/>
  <c r="Y72" i="3"/>
  <c r="N73" i="3"/>
  <c r="T59" i="3"/>
  <c r="O59" i="3"/>
  <c r="Q59" i="3"/>
  <c r="U59" i="3"/>
  <c r="V59" i="3"/>
  <c r="S59" i="3"/>
  <c r="P59" i="3"/>
  <c r="R59" i="3"/>
  <c r="W59" i="3"/>
  <c r="AF59" i="3" l="1"/>
  <c r="AD59" i="3"/>
  <c r="AG59" i="3"/>
  <c r="AA59" i="3"/>
  <c r="AE59" i="3"/>
  <c r="AB59" i="3"/>
  <c r="Z59" i="3"/>
  <c r="AC59" i="3"/>
  <c r="AH59" i="3"/>
  <c r="AN60" i="3"/>
  <c r="H60" i="3"/>
  <c r="I61" i="3"/>
  <c r="AN61" i="3" s="1"/>
  <c r="L60" i="3"/>
  <c r="J61" i="3"/>
  <c r="AO61" i="3" s="1"/>
  <c r="Y73" i="3"/>
  <c r="N74" i="3"/>
  <c r="T60" i="3"/>
  <c r="W60" i="3"/>
  <c r="O60" i="3"/>
  <c r="S60" i="3"/>
  <c r="P60" i="3"/>
  <c r="U60" i="3"/>
  <c r="Q60" i="3"/>
  <c r="R60" i="3"/>
  <c r="V60" i="3"/>
  <c r="AH60" i="3" l="1"/>
  <c r="AC60" i="3"/>
  <c r="Z60" i="3"/>
  <c r="AB60" i="3"/>
  <c r="AE60" i="3"/>
  <c r="AA60" i="3"/>
  <c r="AG60" i="3"/>
  <c r="AD60" i="3"/>
  <c r="AF60" i="3"/>
  <c r="L61" i="3"/>
  <c r="J62" i="3"/>
  <c r="H61" i="3"/>
  <c r="I62" i="3" s="1"/>
  <c r="AN62" i="3" s="1"/>
  <c r="Y74" i="3"/>
  <c r="N75" i="3"/>
  <c r="U61" i="3"/>
  <c r="Q61" i="3"/>
  <c r="V61" i="3"/>
  <c r="P61" i="3"/>
  <c r="S61" i="3"/>
  <c r="W61" i="3"/>
  <c r="O61" i="3"/>
  <c r="R61" i="3"/>
  <c r="T61" i="3"/>
  <c r="AF61" i="3" l="1"/>
  <c r="AD61" i="3"/>
  <c r="AG61" i="3"/>
  <c r="AA61" i="3"/>
  <c r="AE61" i="3"/>
  <c r="AB61" i="3"/>
  <c r="Z61" i="3"/>
  <c r="AC61" i="3"/>
  <c r="AH61" i="3"/>
  <c r="L62" i="3"/>
  <c r="J63" i="3"/>
  <c r="AO63" i="3" s="1"/>
  <c r="AO62" i="3"/>
  <c r="H62" i="3"/>
  <c r="I63" i="3" s="1"/>
  <c r="Y75" i="3"/>
  <c r="W76" i="3"/>
  <c r="O76" i="3"/>
  <c r="T76" i="3"/>
  <c r="U76" i="3"/>
  <c r="N76" i="3"/>
  <c r="V76" i="3"/>
  <c r="S76" i="3"/>
  <c r="P76" i="3"/>
  <c r="Q76" i="3"/>
  <c r="R76" i="3"/>
  <c r="P62" i="3"/>
  <c r="V62" i="3"/>
  <c r="O62" i="3"/>
  <c r="T62" i="3"/>
  <c r="W62" i="3"/>
  <c r="S62" i="3"/>
  <c r="R62" i="3"/>
  <c r="U62" i="3"/>
  <c r="Q62" i="3"/>
  <c r="AH62" i="3" l="1"/>
  <c r="AC62" i="3"/>
  <c r="Z62" i="3"/>
  <c r="AB62" i="3"/>
  <c r="AE62" i="3"/>
  <c r="AA62" i="3"/>
  <c r="AG62" i="3"/>
  <c r="AD62" i="3"/>
  <c r="AF62" i="3"/>
  <c r="L63" i="3"/>
  <c r="H63" i="3"/>
  <c r="I64" i="3"/>
  <c r="AN63" i="3"/>
  <c r="J64" i="3"/>
  <c r="Y76" i="3"/>
  <c r="N108" i="3"/>
  <c r="N109" i="3"/>
  <c r="N110" i="3"/>
  <c r="N111" i="3"/>
  <c r="N112" i="3"/>
  <c r="N113" i="3"/>
  <c r="N114" i="3"/>
  <c r="N115" i="3"/>
  <c r="N116" i="3"/>
  <c r="N117" i="3"/>
  <c r="N118" i="3"/>
  <c r="O77" i="3"/>
  <c r="W77" i="3"/>
  <c r="R77" i="3"/>
  <c r="Q77" i="3"/>
  <c r="N77" i="3"/>
  <c r="P77" i="3"/>
  <c r="S77" i="3"/>
  <c r="V77" i="3"/>
  <c r="U77" i="3"/>
  <c r="T77" i="3"/>
  <c r="O63" i="3"/>
  <c r="Q63" i="3"/>
  <c r="P63" i="3"/>
  <c r="T63" i="3"/>
  <c r="R63" i="3"/>
  <c r="V63" i="3"/>
  <c r="S63" i="3"/>
  <c r="W63" i="3"/>
  <c r="U63" i="3"/>
  <c r="AN64" i="3" l="1"/>
  <c r="AF63" i="3"/>
  <c r="AD63" i="3"/>
  <c r="AG63" i="3"/>
  <c r="AA63" i="3"/>
  <c r="AE63" i="3"/>
  <c r="AB63" i="3"/>
  <c r="Z63" i="3"/>
  <c r="AC63" i="3"/>
  <c r="AH63" i="3"/>
  <c r="L64" i="3"/>
  <c r="H64" i="3"/>
  <c r="J65" i="3"/>
  <c r="AO65" i="3" s="1"/>
  <c r="AO64" i="3"/>
  <c r="Y118" i="3"/>
  <c r="Y119" i="3"/>
  <c r="Y117" i="3"/>
  <c r="Y116" i="3"/>
  <c r="Y115" i="3"/>
  <c r="Y114" i="3"/>
  <c r="Y113" i="3"/>
  <c r="Y112" i="3"/>
  <c r="Y111" i="3"/>
  <c r="Y110" i="3"/>
  <c r="Y109" i="3"/>
  <c r="Y77" i="3"/>
  <c r="AG77" i="3"/>
  <c r="AE77" i="3"/>
  <c r="AH77" i="3"/>
  <c r="AB77" i="3"/>
  <c r="AD77" i="3"/>
  <c r="AF77" i="3"/>
  <c r="Z77" i="3"/>
  <c r="AC77" i="3"/>
  <c r="AA77" i="3"/>
  <c r="N78" i="3"/>
  <c r="O78" i="3"/>
  <c r="Q78" i="3"/>
  <c r="R78" i="3"/>
  <c r="S78" i="3"/>
  <c r="V78" i="3"/>
  <c r="T78" i="3"/>
  <c r="U78" i="3"/>
  <c r="W78" i="3"/>
  <c r="P78" i="3"/>
  <c r="T64" i="3"/>
  <c r="U64" i="3"/>
  <c r="O64" i="3"/>
  <c r="R64" i="3"/>
  <c r="S64" i="3"/>
  <c r="V64" i="3"/>
  <c r="W64" i="3"/>
  <c r="Q64" i="3"/>
  <c r="P64" i="3"/>
  <c r="I65" i="3" l="1"/>
  <c r="AH64" i="3"/>
  <c r="AC64" i="3"/>
  <c r="Z64" i="3"/>
  <c r="AB64" i="3"/>
  <c r="AE64" i="3"/>
  <c r="AA64" i="3"/>
  <c r="AG64" i="3"/>
  <c r="AD64" i="3"/>
  <c r="AF64" i="3"/>
  <c r="L65" i="3"/>
  <c r="Y78" i="3"/>
  <c r="AA78" i="3"/>
  <c r="AC78" i="3"/>
  <c r="Z78" i="3"/>
  <c r="AF78" i="3"/>
  <c r="AD78" i="3"/>
  <c r="AB78" i="3"/>
  <c r="AH78" i="3"/>
  <c r="AE78" i="3"/>
  <c r="AG78" i="3"/>
  <c r="N79" i="3"/>
  <c r="O79" i="3"/>
  <c r="W79" i="3"/>
  <c r="R79" i="3"/>
  <c r="U79" i="3"/>
  <c r="P79" i="3"/>
  <c r="S79" i="3"/>
  <c r="V79" i="3"/>
  <c r="Q79" i="3"/>
  <c r="T79" i="3"/>
  <c r="P65" i="3"/>
  <c r="V65" i="3"/>
  <c r="T65" i="3"/>
  <c r="O65" i="3"/>
  <c r="Q65" i="3"/>
  <c r="S65" i="3"/>
  <c r="W65" i="3"/>
  <c r="R65" i="3"/>
  <c r="U65" i="3"/>
  <c r="J66" i="3" l="1"/>
  <c r="AO66" i="3" s="1"/>
  <c r="AN65" i="3"/>
  <c r="H65" i="3"/>
  <c r="I66" i="3" s="1"/>
  <c r="AF65" i="3"/>
  <c r="AD65" i="3"/>
  <c r="AG65" i="3"/>
  <c r="AA65" i="3"/>
  <c r="AE65" i="3"/>
  <c r="AB65" i="3"/>
  <c r="Z65" i="3"/>
  <c r="AC65" i="3"/>
  <c r="AH65" i="3"/>
  <c r="Y79" i="3"/>
  <c r="AG79" i="3"/>
  <c r="AE79" i="3"/>
  <c r="AH79" i="3"/>
  <c r="AB79" i="3"/>
  <c r="AD79" i="3"/>
  <c r="AF79" i="3"/>
  <c r="Z79" i="3"/>
  <c r="AC79" i="3"/>
  <c r="AA79" i="3"/>
  <c r="V80" i="3"/>
  <c r="S80" i="3"/>
  <c r="P80" i="3"/>
  <c r="Q80" i="3"/>
  <c r="R80" i="3"/>
  <c r="N80" i="3"/>
  <c r="W80" i="3"/>
  <c r="O80" i="3"/>
  <c r="T80" i="3"/>
  <c r="U80" i="3"/>
  <c r="H66" i="3" l="1"/>
  <c r="I67" i="3"/>
  <c r="AN67" i="3" s="1"/>
  <c r="AN66" i="3"/>
  <c r="J67" i="3"/>
  <c r="AO67" i="3" s="1"/>
  <c r="L66" i="3"/>
  <c r="Y80" i="3"/>
  <c r="AA80" i="3"/>
  <c r="AC80" i="3"/>
  <c r="Z80" i="3"/>
  <c r="AF80" i="3"/>
  <c r="AD80" i="3"/>
  <c r="AB80" i="3"/>
  <c r="AH80" i="3"/>
  <c r="AE80" i="3"/>
  <c r="AG80" i="3"/>
  <c r="P81" i="3"/>
  <c r="S81" i="3"/>
  <c r="R81" i="3"/>
  <c r="Q81" i="3"/>
  <c r="V81" i="3"/>
  <c r="N81" i="3"/>
  <c r="O81" i="3"/>
  <c r="W81" i="3"/>
  <c r="U81" i="3"/>
  <c r="T81" i="3"/>
  <c r="Q67" i="3"/>
  <c r="S67" i="3"/>
  <c r="P67" i="3"/>
  <c r="V67" i="3"/>
  <c r="W67" i="3"/>
  <c r="T67" i="3"/>
  <c r="U67" i="3"/>
  <c r="R67" i="3"/>
  <c r="O67" i="3"/>
  <c r="P66" i="3"/>
  <c r="O66" i="3"/>
  <c r="W66" i="3"/>
  <c r="R66" i="3"/>
  <c r="Q66" i="3"/>
  <c r="S66" i="3"/>
  <c r="V66" i="3"/>
  <c r="T66" i="3"/>
  <c r="U66" i="3"/>
  <c r="L67" i="3" l="1"/>
  <c r="AG66" i="3"/>
  <c r="Z66" i="3"/>
  <c r="AF66" i="3"/>
  <c r="AH66" i="3"/>
  <c r="AD66" i="3"/>
  <c r="AA66" i="3"/>
  <c r="AC66" i="3"/>
  <c r="AE66" i="3"/>
  <c r="AB66" i="3"/>
  <c r="H67" i="3"/>
  <c r="I68" i="3" s="1"/>
  <c r="J68" i="3"/>
  <c r="AO68" i="3" s="1"/>
  <c r="AF67" i="3"/>
  <c r="AD67" i="3"/>
  <c r="AG67" i="3"/>
  <c r="AA67" i="3"/>
  <c r="AE67" i="3"/>
  <c r="AB67" i="3"/>
  <c r="Z67" i="3"/>
  <c r="AC67" i="3"/>
  <c r="AH67" i="3"/>
  <c r="Y81" i="3"/>
  <c r="AG81" i="3"/>
  <c r="AE81" i="3"/>
  <c r="AH81" i="3"/>
  <c r="AB81" i="3"/>
  <c r="AD81" i="3"/>
  <c r="AF81" i="3"/>
  <c r="Z81" i="3"/>
  <c r="AC81" i="3"/>
  <c r="AA81" i="3"/>
  <c r="V82" i="3"/>
  <c r="S82" i="3"/>
  <c r="T82" i="3"/>
  <c r="U82" i="3"/>
  <c r="P82" i="3"/>
  <c r="N82" i="3"/>
  <c r="W82" i="3"/>
  <c r="O82" i="3"/>
  <c r="Q82" i="3"/>
  <c r="R82" i="3"/>
  <c r="P68" i="3"/>
  <c r="R68" i="3"/>
  <c r="S68" i="3"/>
  <c r="V68" i="3"/>
  <c r="U68" i="3"/>
  <c r="T68" i="3"/>
  <c r="W68" i="3"/>
  <c r="Q68" i="3"/>
  <c r="O68" i="3"/>
  <c r="L68" i="3" l="1"/>
  <c r="H68" i="3"/>
  <c r="I69" i="3" s="1"/>
  <c r="AN68" i="3"/>
  <c r="J69" i="3"/>
  <c r="AO69" i="3" s="1"/>
  <c r="AH68" i="3"/>
  <c r="AC68" i="3"/>
  <c r="Z68" i="3"/>
  <c r="AB68" i="3"/>
  <c r="AE68" i="3"/>
  <c r="AA68" i="3"/>
  <c r="AG68" i="3"/>
  <c r="AD68" i="3"/>
  <c r="AF68" i="3"/>
  <c r="Y82" i="3"/>
  <c r="AA82" i="3"/>
  <c r="AC82" i="3"/>
  <c r="Z82" i="3"/>
  <c r="AF82" i="3"/>
  <c r="AD82" i="3"/>
  <c r="AB82" i="3"/>
  <c r="AH82" i="3"/>
  <c r="AE82" i="3"/>
  <c r="AG82" i="3"/>
  <c r="N83" i="3"/>
  <c r="U83" i="3"/>
  <c r="T83" i="3"/>
  <c r="P83" i="3"/>
  <c r="S83" i="3"/>
  <c r="R83" i="3"/>
  <c r="Q83" i="3"/>
  <c r="V83" i="3"/>
  <c r="O83" i="3"/>
  <c r="W83" i="3"/>
  <c r="L69" i="3" l="1"/>
  <c r="AN69" i="3"/>
  <c r="H69" i="3"/>
  <c r="I70" i="3"/>
  <c r="J70" i="3"/>
  <c r="AO70" i="3" s="1"/>
  <c r="Y83" i="3"/>
  <c r="AG83" i="3"/>
  <c r="AE83" i="3"/>
  <c r="AH83" i="3"/>
  <c r="AB83" i="3"/>
  <c r="AD83" i="3"/>
  <c r="AF83" i="3"/>
  <c r="Z83" i="3"/>
  <c r="AC83" i="3"/>
  <c r="AA83" i="3"/>
  <c r="V84" i="3"/>
  <c r="S84" i="3"/>
  <c r="P84" i="3"/>
  <c r="Q84" i="3"/>
  <c r="R84" i="3"/>
  <c r="N84" i="3"/>
  <c r="W84" i="3"/>
  <c r="O84" i="3"/>
  <c r="T84" i="3"/>
  <c r="U84" i="3"/>
  <c r="R69" i="3"/>
  <c r="U69" i="3"/>
  <c r="W69" i="3"/>
  <c r="S69" i="3"/>
  <c r="Q69" i="3"/>
  <c r="P69" i="3"/>
  <c r="T69" i="3"/>
  <c r="V69" i="3"/>
  <c r="O69" i="3"/>
  <c r="J71" i="3" l="1"/>
  <c r="AO71" i="3" s="1"/>
  <c r="Z69" i="3"/>
  <c r="AG69" i="3"/>
  <c r="AE69" i="3"/>
  <c r="AA69" i="3"/>
  <c r="AB69" i="3"/>
  <c r="AD69" i="3"/>
  <c r="AH69" i="3"/>
  <c r="AF69" i="3"/>
  <c r="AC69" i="3"/>
  <c r="AN70" i="3"/>
  <c r="H70" i="3"/>
  <c r="I71" i="3" s="1"/>
  <c r="L70" i="3"/>
  <c r="Y84" i="3"/>
  <c r="AA84" i="3"/>
  <c r="AC84" i="3"/>
  <c r="Z84" i="3"/>
  <c r="AF84" i="3"/>
  <c r="AD84" i="3"/>
  <c r="AB84" i="3"/>
  <c r="AH84" i="3"/>
  <c r="AE84" i="3"/>
  <c r="AG84" i="3"/>
  <c r="P85" i="3"/>
  <c r="S85" i="3"/>
  <c r="R85" i="3"/>
  <c r="Q85" i="3"/>
  <c r="W85" i="3"/>
  <c r="N85" i="3"/>
  <c r="O85" i="3"/>
  <c r="V85" i="3"/>
  <c r="U85" i="3"/>
  <c r="T85" i="3"/>
  <c r="O70" i="3"/>
  <c r="V70" i="3"/>
  <c r="T70" i="3"/>
  <c r="P70" i="3"/>
  <c r="Q70" i="3"/>
  <c r="S70" i="3"/>
  <c r="W70" i="3"/>
  <c r="U70" i="3"/>
  <c r="R70" i="3"/>
  <c r="AC70" i="3" l="1"/>
  <c r="AF70" i="3"/>
  <c r="AH70" i="3"/>
  <c r="AD70" i="3"/>
  <c r="AB70" i="3"/>
  <c r="AA70" i="3"/>
  <c r="AE70" i="3"/>
  <c r="AG70" i="3"/>
  <c r="Z70" i="3"/>
  <c r="J72" i="3"/>
  <c r="AO72" i="3" s="1"/>
  <c r="H71" i="3"/>
  <c r="L71" i="3"/>
  <c r="AN71" i="3"/>
  <c r="I72" i="3"/>
  <c r="AN72" i="3" s="1"/>
  <c r="Y85" i="3"/>
  <c r="AG85" i="3"/>
  <c r="AE85" i="3"/>
  <c r="AH85" i="3"/>
  <c r="AB85" i="3"/>
  <c r="AD85" i="3"/>
  <c r="AF85" i="3"/>
  <c r="Z85" i="3"/>
  <c r="AC85" i="3"/>
  <c r="AA85" i="3"/>
  <c r="V86" i="3"/>
  <c r="S86" i="3"/>
  <c r="T86" i="3"/>
  <c r="U86" i="3"/>
  <c r="O86" i="3"/>
  <c r="N86" i="3"/>
  <c r="W86" i="3"/>
  <c r="P86" i="3"/>
  <c r="Q86" i="3"/>
  <c r="R86" i="3"/>
  <c r="R71" i="3"/>
  <c r="U71" i="3"/>
  <c r="W71" i="3"/>
  <c r="S71" i="3"/>
  <c r="Q71" i="3"/>
  <c r="P71" i="3"/>
  <c r="T71" i="3"/>
  <c r="V71" i="3"/>
  <c r="O71" i="3"/>
  <c r="Z71" i="3" l="1"/>
  <c r="AG71" i="3"/>
  <c r="AE71" i="3"/>
  <c r="AA71" i="3"/>
  <c r="AB71" i="3"/>
  <c r="AD71" i="3"/>
  <c r="AH71" i="3"/>
  <c r="AF71" i="3"/>
  <c r="AC71" i="3"/>
  <c r="I73" i="3"/>
  <c r="H72" i="3"/>
  <c r="J73" i="3"/>
  <c r="AO73" i="3" s="1"/>
  <c r="L72" i="3"/>
  <c r="Y86" i="3"/>
  <c r="AA86" i="3"/>
  <c r="AC86" i="3"/>
  <c r="Z86" i="3"/>
  <c r="AF86" i="3"/>
  <c r="AD86" i="3"/>
  <c r="AB86" i="3"/>
  <c r="AH86" i="3"/>
  <c r="AE86" i="3"/>
  <c r="AG86" i="3"/>
  <c r="P87" i="3"/>
  <c r="S87" i="3"/>
  <c r="R87" i="3"/>
  <c r="Q87" i="3"/>
  <c r="W87" i="3"/>
  <c r="N87" i="3"/>
  <c r="O87" i="3"/>
  <c r="V87" i="3"/>
  <c r="U87" i="3"/>
  <c r="T87" i="3"/>
  <c r="O72" i="3"/>
  <c r="V72" i="3"/>
  <c r="T72" i="3"/>
  <c r="P72" i="3"/>
  <c r="Q72" i="3"/>
  <c r="S72" i="3"/>
  <c r="W72" i="3"/>
  <c r="U72" i="3"/>
  <c r="R72" i="3"/>
  <c r="AC72" i="3" l="1"/>
  <c r="AF72" i="3"/>
  <c r="AH72" i="3"/>
  <c r="AD72" i="3"/>
  <c r="AB72" i="3"/>
  <c r="AA72" i="3"/>
  <c r="AE72" i="3"/>
  <c r="AG72" i="3"/>
  <c r="Z72" i="3"/>
  <c r="L73" i="3"/>
  <c r="AN73" i="3"/>
  <c r="J74" i="3"/>
  <c r="I74" i="3"/>
  <c r="H73" i="3"/>
  <c r="Y87" i="3"/>
  <c r="AG87" i="3"/>
  <c r="AE87" i="3"/>
  <c r="AH87" i="3"/>
  <c r="AB87" i="3"/>
  <c r="AD87" i="3"/>
  <c r="AF87" i="3"/>
  <c r="Z87" i="3"/>
  <c r="AC87" i="3"/>
  <c r="AA87" i="3"/>
  <c r="V88" i="3"/>
  <c r="S88" i="3"/>
  <c r="T88" i="3"/>
  <c r="U88" i="3"/>
  <c r="P88" i="3"/>
  <c r="N88" i="3"/>
  <c r="W88" i="3"/>
  <c r="O88" i="3"/>
  <c r="Q88" i="3"/>
  <c r="R88" i="3"/>
  <c r="R73" i="3"/>
  <c r="U73" i="3"/>
  <c r="W73" i="3"/>
  <c r="S73" i="3"/>
  <c r="Q73" i="3"/>
  <c r="P73" i="3"/>
  <c r="T73" i="3"/>
  <c r="V73" i="3"/>
  <c r="O73" i="3"/>
  <c r="H74" i="3" l="1"/>
  <c r="Z73" i="3"/>
  <c r="AG73" i="3"/>
  <c r="AE73" i="3"/>
  <c r="AA73" i="3"/>
  <c r="AB73" i="3"/>
  <c r="AD73" i="3"/>
  <c r="AH73" i="3"/>
  <c r="AF73" i="3"/>
  <c r="AC73" i="3"/>
  <c r="AO74" i="3"/>
  <c r="L74" i="3"/>
  <c r="I75" i="3"/>
  <c r="H75" i="3" s="1"/>
  <c r="AN74" i="3"/>
  <c r="J75" i="3"/>
  <c r="Y88" i="3"/>
  <c r="AA88" i="3"/>
  <c r="AC88" i="3"/>
  <c r="Z88" i="3"/>
  <c r="AF88" i="3"/>
  <c r="AD88" i="3"/>
  <c r="AB88" i="3"/>
  <c r="AH88" i="3"/>
  <c r="AE88" i="3"/>
  <c r="AG88" i="3"/>
  <c r="P89" i="3"/>
  <c r="S89" i="3"/>
  <c r="V89" i="3"/>
  <c r="U89" i="3"/>
  <c r="T89" i="3"/>
  <c r="N89" i="3"/>
  <c r="O89" i="3"/>
  <c r="W89" i="3"/>
  <c r="R89" i="3"/>
  <c r="Q89" i="3"/>
  <c r="O74" i="3"/>
  <c r="V74" i="3"/>
  <c r="T74" i="3"/>
  <c r="P74" i="3"/>
  <c r="Q74" i="3"/>
  <c r="S74" i="3"/>
  <c r="W74" i="3"/>
  <c r="U74" i="3"/>
  <c r="R74" i="3"/>
  <c r="I76" i="3" l="1"/>
  <c r="AN75" i="3"/>
  <c r="AC74" i="3"/>
  <c r="AF74" i="3"/>
  <c r="AH74" i="3"/>
  <c r="AD74" i="3"/>
  <c r="AB74" i="3"/>
  <c r="AA74" i="3"/>
  <c r="AE74" i="3"/>
  <c r="AG74" i="3"/>
  <c r="Z74" i="3"/>
  <c r="H76" i="3"/>
  <c r="J76" i="3"/>
  <c r="J77" i="3" s="1"/>
  <c r="AO77" i="3" s="1"/>
  <c r="L75" i="3"/>
  <c r="AN76" i="3"/>
  <c r="AO75" i="3"/>
  <c r="Y89" i="3"/>
  <c r="AG89" i="3"/>
  <c r="AE89" i="3"/>
  <c r="AH89" i="3"/>
  <c r="AB89" i="3"/>
  <c r="AD89" i="3"/>
  <c r="AF89" i="3"/>
  <c r="Z89" i="3"/>
  <c r="AC89" i="3"/>
  <c r="AA89" i="3"/>
  <c r="V90" i="3"/>
  <c r="S90" i="3"/>
  <c r="T90" i="3"/>
  <c r="U90" i="3"/>
  <c r="O90" i="3"/>
  <c r="N90" i="3"/>
  <c r="W90" i="3"/>
  <c r="P90" i="3"/>
  <c r="Q90" i="3"/>
  <c r="R90" i="3"/>
  <c r="R75" i="3"/>
  <c r="U75" i="3"/>
  <c r="W75" i="3"/>
  <c r="S75" i="3"/>
  <c r="Q75" i="3"/>
  <c r="P75" i="3"/>
  <c r="T75" i="3"/>
  <c r="V75" i="3"/>
  <c r="O75" i="3"/>
  <c r="I77" i="3" l="1"/>
  <c r="H77" i="3" s="1"/>
  <c r="AO76" i="3"/>
  <c r="Z75" i="3"/>
  <c r="Z76" i="3"/>
  <c r="AG76" i="3"/>
  <c r="AG75" i="3"/>
  <c r="AE76" i="3"/>
  <c r="AE75" i="3"/>
  <c r="AA75" i="3"/>
  <c r="AA76" i="3"/>
  <c r="AB76" i="3"/>
  <c r="AB75" i="3"/>
  <c r="AD76" i="3"/>
  <c r="AD75" i="3"/>
  <c r="AH76" i="3"/>
  <c r="AH75" i="3"/>
  <c r="AF76" i="3"/>
  <c r="AF75" i="3"/>
  <c r="AC75" i="3"/>
  <c r="AC76" i="3"/>
  <c r="AN77" i="3"/>
  <c r="J78" i="3"/>
  <c r="AO78" i="3" s="1"/>
  <c r="L76" i="3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I78" i="3"/>
  <c r="Y90" i="3"/>
  <c r="AA90" i="3"/>
  <c r="AC90" i="3"/>
  <c r="Z90" i="3"/>
  <c r="AF90" i="3"/>
  <c r="AD90" i="3"/>
  <c r="AB90" i="3"/>
  <c r="AH90" i="3"/>
  <c r="AE90" i="3"/>
  <c r="AG90" i="3"/>
  <c r="N91" i="3"/>
  <c r="O91" i="3"/>
  <c r="V91" i="3"/>
  <c r="U91" i="3"/>
  <c r="T91" i="3"/>
  <c r="P91" i="3"/>
  <c r="S91" i="3"/>
  <c r="R91" i="3"/>
  <c r="Q91" i="3"/>
  <c r="W91" i="3"/>
  <c r="H78" i="3" l="1"/>
  <c r="I79" i="3"/>
  <c r="AN78" i="3"/>
  <c r="J79" i="3"/>
  <c r="AO79" i="3" s="1"/>
  <c r="Y91" i="3"/>
  <c r="AG91" i="3"/>
  <c r="AE91" i="3"/>
  <c r="AH91" i="3"/>
  <c r="AB91" i="3"/>
  <c r="AD91" i="3"/>
  <c r="AF91" i="3"/>
  <c r="Z91" i="3"/>
  <c r="AC91" i="3"/>
  <c r="AA91" i="3"/>
  <c r="L92" i="3"/>
  <c r="N92" i="3"/>
  <c r="W92" i="3"/>
  <c r="P92" i="3"/>
  <c r="Q92" i="3"/>
  <c r="R92" i="3"/>
  <c r="V92" i="3"/>
  <c r="S92" i="3"/>
  <c r="T92" i="3"/>
  <c r="U92" i="3"/>
  <c r="O92" i="3"/>
  <c r="H79" i="3" l="1"/>
  <c r="J80" i="3"/>
  <c r="AO80" i="3" s="1"/>
  <c r="I80" i="3"/>
  <c r="J81" i="3" s="1"/>
  <c r="AO81" i="3" s="1"/>
  <c r="AN79" i="3"/>
  <c r="Y92" i="3"/>
  <c r="AA92" i="3"/>
  <c r="AC92" i="3"/>
  <c r="Z92" i="3"/>
  <c r="AF92" i="3"/>
  <c r="AD92" i="3"/>
  <c r="AB92" i="3"/>
  <c r="AH92" i="3"/>
  <c r="AE92" i="3"/>
  <c r="AG92" i="3"/>
  <c r="L93" i="3"/>
  <c r="P93" i="3"/>
  <c r="S93" i="3"/>
  <c r="R93" i="3"/>
  <c r="Q93" i="3"/>
  <c r="W93" i="3"/>
  <c r="N93" i="3"/>
  <c r="O93" i="3"/>
  <c r="V93" i="3"/>
  <c r="U93" i="3"/>
  <c r="T93" i="3"/>
  <c r="H80" i="3" l="1"/>
  <c r="I81" i="3" s="1"/>
  <c r="J82" i="3" s="1"/>
  <c r="AO82" i="3" s="1"/>
  <c r="AN80" i="3"/>
  <c r="Y93" i="3"/>
  <c r="AG93" i="3"/>
  <c r="AE93" i="3"/>
  <c r="AH93" i="3"/>
  <c r="AB93" i="3"/>
  <c r="AD93" i="3"/>
  <c r="AF93" i="3"/>
  <c r="Z93" i="3"/>
  <c r="AC93" i="3"/>
  <c r="AA93" i="3"/>
  <c r="L94" i="3"/>
  <c r="T94" i="3"/>
  <c r="U94" i="3"/>
  <c r="P94" i="3"/>
  <c r="W94" i="3"/>
  <c r="O94" i="3"/>
  <c r="N94" i="3"/>
  <c r="Q94" i="3"/>
  <c r="R94" i="3"/>
  <c r="V94" i="3"/>
  <c r="S94" i="3"/>
  <c r="AN81" i="3" l="1"/>
  <c r="H81" i="3"/>
  <c r="I82" i="3" s="1"/>
  <c r="AN82" i="3" s="1"/>
  <c r="Y94" i="3"/>
  <c r="AA94" i="3"/>
  <c r="AC94" i="3"/>
  <c r="Z94" i="3"/>
  <c r="AF94" i="3"/>
  <c r="AD94" i="3"/>
  <c r="AB94" i="3"/>
  <c r="AH94" i="3"/>
  <c r="AE94" i="3"/>
  <c r="AG94" i="3"/>
  <c r="L95" i="3"/>
  <c r="N95" i="3"/>
  <c r="O95" i="3"/>
  <c r="V95" i="3"/>
  <c r="U95" i="3"/>
  <c r="T95" i="3"/>
  <c r="P95" i="3"/>
  <c r="S95" i="3"/>
  <c r="R95" i="3"/>
  <c r="Q95" i="3"/>
  <c r="W95" i="3"/>
  <c r="H82" i="3" l="1"/>
  <c r="J83" i="3"/>
  <c r="AO83" i="3" s="1"/>
  <c r="I83" i="3"/>
  <c r="J84" i="3" s="1"/>
  <c r="Y95" i="3"/>
  <c r="AG95" i="3"/>
  <c r="AE95" i="3"/>
  <c r="AH95" i="3"/>
  <c r="AB95" i="3"/>
  <c r="AD95" i="3"/>
  <c r="AF95" i="3"/>
  <c r="Z95" i="3"/>
  <c r="AC95" i="3"/>
  <c r="AA95" i="3"/>
  <c r="L96" i="3"/>
  <c r="N96" i="3"/>
  <c r="Q96" i="3"/>
  <c r="R96" i="3"/>
  <c r="V96" i="3"/>
  <c r="S96" i="3"/>
  <c r="T96" i="3"/>
  <c r="U96" i="3"/>
  <c r="P96" i="3"/>
  <c r="W96" i="3"/>
  <c r="O96" i="3"/>
  <c r="H83" i="3" l="1"/>
  <c r="AN83" i="3"/>
  <c r="AO84" i="3"/>
  <c r="I84" i="3"/>
  <c r="Y96" i="3"/>
  <c r="AA96" i="3"/>
  <c r="AC96" i="3"/>
  <c r="Z96" i="3"/>
  <c r="AF96" i="3"/>
  <c r="AD96" i="3"/>
  <c r="AB96" i="3"/>
  <c r="AH96" i="3"/>
  <c r="AE96" i="3"/>
  <c r="AG96" i="3"/>
  <c r="L97" i="3"/>
  <c r="P97" i="3"/>
  <c r="S97" i="3"/>
  <c r="R97" i="3"/>
  <c r="Q97" i="3"/>
  <c r="W97" i="3"/>
  <c r="N97" i="3"/>
  <c r="O97" i="3"/>
  <c r="V97" i="3"/>
  <c r="U97" i="3"/>
  <c r="T97" i="3"/>
  <c r="AN84" i="3" l="1"/>
  <c r="H84" i="3"/>
  <c r="I85" i="3" s="1"/>
  <c r="J85" i="3"/>
  <c r="AO85" i="3" s="1"/>
  <c r="Y97" i="3"/>
  <c r="AG97" i="3"/>
  <c r="AE97" i="3"/>
  <c r="AH97" i="3"/>
  <c r="AB97" i="3"/>
  <c r="AD97" i="3"/>
  <c r="AF97" i="3"/>
  <c r="Z97" i="3"/>
  <c r="AC97" i="3"/>
  <c r="AA97" i="3"/>
  <c r="L98" i="3"/>
  <c r="V98" i="3"/>
  <c r="S98" i="3"/>
  <c r="T98" i="3"/>
  <c r="U98" i="3"/>
  <c r="P98" i="3"/>
  <c r="N98" i="3"/>
  <c r="W98" i="3"/>
  <c r="O98" i="3"/>
  <c r="Q98" i="3"/>
  <c r="R98" i="3"/>
  <c r="AN85" i="3" l="1"/>
  <c r="J86" i="3"/>
  <c r="AO86" i="3" s="1"/>
  <c r="H85" i="3"/>
  <c r="I86" i="3" s="1"/>
  <c r="Y98" i="3"/>
  <c r="AA98" i="3"/>
  <c r="AC98" i="3"/>
  <c r="Z98" i="3"/>
  <c r="AF98" i="3"/>
  <c r="AD98" i="3"/>
  <c r="AB98" i="3"/>
  <c r="AH98" i="3"/>
  <c r="AE98" i="3"/>
  <c r="AG98" i="3"/>
  <c r="H86" i="3" l="1"/>
  <c r="I87" i="3" s="1"/>
  <c r="H87" i="3" s="1"/>
  <c r="AN86" i="3"/>
  <c r="J87" i="3"/>
  <c r="AO87" i="3" s="1"/>
  <c r="L99" i="3"/>
  <c r="O99" i="3"/>
  <c r="V99" i="3"/>
  <c r="S99" i="3"/>
  <c r="T99" i="3"/>
  <c r="U99" i="3"/>
  <c r="N99" i="3"/>
  <c r="W99" i="3"/>
  <c r="R99" i="3"/>
  <c r="Q99" i="3"/>
  <c r="P99" i="3"/>
  <c r="P100" i="3" s="1"/>
  <c r="N100" i="3"/>
  <c r="J88" i="3" l="1"/>
  <c r="AO88" i="3" s="1"/>
  <c r="AN87" i="3"/>
  <c r="I88" i="3"/>
  <c r="Z99" i="3"/>
  <c r="L100" i="3"/>
  <c r="Y100" i="3"/>
  <c r="Y99" i="3"/>
  <c r="AA99" i="3"/>
  <c r="AC99" i="3"/>
  <c r="AF99" i="3"/>
  <c r="AD99" i="3"/>
  <c r="AB99" i="3"/>
  <c r="AH99" i="3"/>
  <c r="AE99" i="3"/>
  <c r="AG99" i="3"/>
  <c r="AA100" i="3"/>
  <c r="R100" i="3"/>
  <c r="Q100" i="3"/>
  <c r="O100" i="3"/>
  <c r="W100" i="3"/>
  <c r="U100" i="3"/>
  <c r="T100" i="3"/>
  <c r="S100" i="3"/>
  <c r="V100" i="3"/>
  <c r="P101" i="3"/>
  <c r="N101" i="3"/>
  <c r="J89" i="3" l="1"/>
  <c r="AO89" i="3" s="1"/>
  <c r="I89" i="3"/>
  <c r="AN89" i="3" s="1"/>
  <c r="AN88" i="3"/>
  <c r="H88" i="3"/>
  <c r="AG100" i="3"/>
  <c r="AD100" i="3"/>
  <c r="AE100" i="3"/>
  <c r="AF100" i="3"/>
  <c r="AH100" i="3"/>
  <c r="Z100" i="3"/>
  <c r="AB100" i="3"/>
  <c r="AC100" i="3"/>
  <c r="L101" i="3"/>
  <c r="L102" i="3" s="1"/>
  <c r="Y101" i="3"/>
  <c r="AA101" i="3"/>
  <c r="T101" i="3"/>
  <c r="U101" i="3"/>
  <c r="W101" i="3"/>
  <c r="O101" i="3"/>
  <c r="V101" i="3"/>
  <c r="Q101" i="3"/>
  <c r="R101" i="3"/>
  <c r="S101" i="3"/>
  <c r="N102" i="3"/>
  <c r="Q102" i="3"/>
  <c r="R102" i="3"/>
  <c r="V102" i="3"/>
  <c r="S102" i="3"/>
  <c r="T102" i="3"/>
  <c r="U102" i="3"/>
  <c r="P102" i="3"/>
  <c r="W102" i="3"/>
  <c r="O102" i="3"/>
  <c r="J90" i="3" l="1"/>
  <c r="AO90" i="3" s="1"/>
  <c r="H89" i="3"/>
  <c r="I90" i="3" s="1"/>
  <c r="AD101" i="3"/>
  <c r="AC101" i="3"/>
  <c r="AB101" i="3"/>
  <c r="AG101" i="3"/>
  <c r="Z101" i="3"/>
  <c r="AH101" i="3"/>
  <c r="AF101" i="3"/>
  <c r="AE101" i="3"/>
  <c r="Y102" i="3"/>
  <c r="AA102" i="3"/>
  <c r="AC102" i="3"/>
  <c r="Z102" i="3"/>
  <c r="AF102" i="3"/>
  <c r="AD102" i="3"/>
  <c r="AB102" i="3"/>
  <c r="AH102" i="3"/>
  <c r="AE102" i="3"/>
  <c r="AG102" i="3"/>
  <c r="L103" i="3"/>
  <c r="P103" i="3"/>
  <c r="S103" i="3"/>
  <c r="R103" i="3"/>
  <c r="Q103" i="3"/>
  <c r="V103" i="3"/>
  <c r="N103" i="3"/>
  <c r="O103" i="3"/>
  <c r="W103" i="3"/>
  <c r="U103" i="3"/>
  <c r="T103" i="3"/>
  <c r="H90" i="3" l="1"/>
  <c r="I91" i="3" s="1"/>
  <c r="AN91" i="3" s="1"/>
  <c r="AN90" i="3"/>
  <c r="J91" i="3"/>
  <c r="Y103" i="3"/>
  <c r="AG103" i="3"/>
  <c r="AE103" i="3"/>
  <c r="AH103" i="3"/>
  <c r="AB103" i="3"/>
  <c r="AD103" i="3"/>
  <c r="AF103" i="3"/>
  <c r="Z103" i="3"/>
  <c r="AC103" i="3"/>
  <c r="AA103" i="3"/>
  <c r="L104" i="3"/>
  <c r="N104" i="3"/>
  <c r="Q104" i="3"/>
  <c r="R104" i="3"/>
  <c r="V104" i="3"/>
  <c r="S104" i="3"/>
  <c r="T104" i="3"/>
  <c r="U104" i="3"/>
  <c r="P104" i="3"/>
  <c r="W104" i="3"/>
  <c r="O104" i="3"/>
  <c r="J92" i="3" l="1"/>
  <c r="AO92" i="3" s="1"/>
  <c r="AO91" i="3"/>
  <c r="H91" i="3"/>
  <c r="I92" i="3" s="1"/>
  <c r="Y104" i="3"/>
  <c r="AA104" i="3"/>
  <c r="AC104" i="3"/>
  <c r="Z104" i="3"/>
  <c r="AF104" i="3"/>
  <c r="AD104" i="3"/>
  <c r="AB104" i="3"/>
  <c r="AH104" i="3"/>
  <c r="AE104" i="3"/>
  <c r="AG104" i="3"/>
  <c r="L105" i="3"/>
  <c r="N105" i="3"/>
  <c r="U105" i="3"/>
  <c r="T105" i="3"/>
  <c r="P105" i="3"/>
  <c r="S105" i="3"/>
  <c r="R105" i="3"/>
  <c r="Q105" i="3"/>
  <c r="V105" i="3"/>
  <c r="O105" i="3"/>
  <c r="W105" i="3"/>
  <c r="AN92" i="3" l="1"/>
  <c r="H92" i="3"/>
  <c r="I93" i="3" s="1"/>
  <c r="J93" i="3"/>
  <c r="Y105" i="3"/>
  <c r="AG105" i="3"/>
  <c r="AE105" i="3"/>
  <c r="AH105" i="3"/>
  <c r="AB105" i="3"/>
  <c r="AD105" i="3"/>
  <c r="AF105" i="3"/>
  <c r="Z105" i="3"/>
  <c r="AC105" i="3"/>
  <c r="AA105" i="3"/>
  <c r="L106" i="3"/>
  <c r="V106" i="3"/>
  <c r="S106" i="3"/>
  <c r="T106" i="3"/>
  <c r="U106" i="3"/>
  <c r="O106" i="3"/>
  <c r="N106" i="3"/>
  <c r="W106" i="3"/>
  <c r="P106" i="3"/>
  <c r="Q106" i="3"/>
  <c r="R106" i="3"/>
  <c r="AO93" i="3" l="1"/>
  <c r="AN93" i="3"/>
  <c r="H93" i="3"/>
  <c r="I94" i="3" s="1"/>
  <c r="J94" i="3"/>
  <c r="Y106" i="3"/>
  <c r="AA106" i="3"/>
  <c r="AC106" i="3"/>
  <c r="Z106" i="3"/>
  <c r="AF106" i="3"/>
  <c r="AD106" i="3"/>
  <c r="AB106" i="3"/>
  <c r="AH106" i="3"/>
  <c r="AE106" i="3"/>
  <c r="AG106" i="3"/>
  <c r="L107" i="3"/>
  <c r="N107" i="3"/>
  <c r="U107" i="3"/>
  <c r="T107" i="3"/>
  <c r="O107" i="3"/>
  <c r="W107" i="3"/>
  <c r="R107" i="3"/>
  <c r="Q107" i="3"/>
  <c r="P107" i="3"/>
  <c r="S107" i="3"/>
  <c r="V107" i="3"/>
  <c r="J95" i="3" l="1"/>
  <c r="AO95" i="3" s="1"/>
  <c r="AO94" i="3"/>
  <c r="H94" i="3"/>
  <c r="I95" i="3" s="1"/>
  <c r="I96" i="3" s="1"/>
  <c r="AN96" i="3" s="1"/>
  <c r="AN94" i="3"/>
  <c r="Y108" i="3"/>
  <c r="Y107" i="3"/>
  <c r="AU26" i="3"/>
  <c r="AG107" i="3"/>
  <c r="AE107" i="3"/>
  <c r="AH107" i="3"/>
  <c r="AB107" i="3"/>
  <c r="AD107" i="3"/>
  <c r="AF107" i="3"/>
  <c r="Z107" i="3"/>
  <c r="AC107" i="3"/>
  <c r="AA107" i="3"/>
  <c r="L108" i="3"/>
  <c r="V108" i="3"/>
  <c r="T108" i="3"/>
  <c r="W108" i="3"/>
  <c r="Q108" i="3"/>
  <c r="S108" i="3"/>
  <c r="U108" i="3"/>
  <c r="O108" i="3"/>
  <c r="R108" i="3"/>
  <c r="P108" i="3"/>
  <c r="J96" i="3" l="1"/>
  <c r="AO96" i="3" s="1"/>
  <c r="AN95" i="3"/>
  <c r="H95" i="3"/>
  <c r="H96" i="3" s="1"/>
  <c r="I97" i="3"/>
  <c r="AN97" i="3" s="1"/>
  <c r="J97" i="3"/>
  <c r="AV26" i="3"/>
  <c r="AK52" i="3" s="1"/>
  <c r="AJ27" i="3"/>
  <c r="AJ33" i="3"/>
  <c r="AJ41" i="3"/>
  <c r="AJ49" i="3"/>
  <c r="AJ26" i="3"/>
  <c r="AJ32" i="3"/>
  <c r="AJ40" i="3"/>
  <c r="AJ48" i="3"/>
  <c r="BF57" i="3"/>
  <c r="BI57" i="3" s="1"/>
  <c r="AJ35" i="3"/>
  <c r="AJ43" i="3"/>
  <c r="AJ51" i="3"/>
  <c r="BE57" i="3"/>
  <c r="AJ34" i="3"/>
  <c r="AJ42" i="3"/>
  <c r="AJ50" i="3"/>
  <c r="AJ29" i="3"/>
  <c r="AJ37" i="3"/>
  <c r="AJ45" i="3"/>
  <c r="AJ53" i="3"/>
  <c r="AJ28" i="3"/>
  <c r="AJ36" i="3"/>
  <c r="AJ44" i="3"/>
  <c r="AJ52" i="3"/>
  <c r="AJ31" i="3"/>
  <c r="AJ39" i="3"/>
  <c r="AJ47" i="3"/>
  <c r="AJ30" i="3"/>
  <c r="AJ38" i="3"/>
  <c r="AJ46" i="3"/>
  <c r="AJ54" i="3"/>
  <c r="AA108" i="3"/>
  <c r="AC108" i="3"/>
  <c r="Z108" i="3"/>
  <c r="AF108" i="3"/>
  <c r="AD108" i="3"/>
  <c r="AB108" i="3"/>
  <c r="AH108" i="3"/>
  <c r="AE108" i="3"/>
  <c r="AG108" i="3"/>
  <c r="L109" i="3"/>
  <c r="P109" i="3"/>
  <c r="R109" i="3"/>
  <c r="O109" i="3"/>
  <c r="U109" i="3"/>
  <c r="S109" i="3"/>
  <c r="Q109" i="3"/>
  <c r="W109" i="3"/>
  <c r="T109" i="3"/>
  <c r="V109" i="3"/>
  <c r="J98" i="3" l="1"/>
  <c r="AO97" i="3"/>
  <c r="H97" i="3"/>
  <c r="I98" i="3"/>
  <c r="AK42" i="3"/>
  <c r="AM42" i="3" s="1"/>
  <c r="AK26" i="3"/>
  <c r="AL26" i="3" s="1"/>
  <c r="AK45" i="3"/>
  <c r="AM45" i="3" s="1"/>
  <c r="AK46" i="3"/>
  <c r="AM46" i="3" s="1"/>
  <c r="AK44" i="3"/>
  <c r="AM44" i="3" s="1"/>
  <c r="AK49" i="3"/>
  <c r="AL49" i="3" s="1"/>
  <c r="AK27" i="3"/>
  <c r="AM27" i="3" s="1"/>
  <c r="AK32" i="3"/>
  <c r="AM32" i="3" s="1"/>
  <c r="AK36" i="3"/>
  <c r="AL36" i="3" s="1"/>
  <c r="AK40" i="3"/>
  <c r="AM40" i="3" s="1"/>
  <c r="AK43" i="3"/>
  <c r="AL43" i="3" s="1"/>
  <c r="AK38" i="3"/>
  <c r="AM38" i="3" s="1"/>
  <c r="AK33" i="3"/>
  <c r="AL33" i="3" s="1"/>
  <c r="AK31" i="3"/>
  <c r="AL31" i="3" s="1"/>
  <c r="AK35" i="3"/>
  <c r="AM35" i="3" s="1"/>
  <c r="AK54" i="3"/>
  <c r="AM54" i="3" s="1"/>
  <c r="AK47" i="3"/>
  <c r="AM47" i="3" s="1"/>
  <c r="AK37" i="3"/>
  <c r="AM37" i="3" s="1"/>
  <c r="AK41" i="3"/>
  <c r="AL41" i="3" s="1"/>
  <c r="AK50" i="3"/>
  <c r="AM50" i="3" s="1"/>
  <c r="AK34" i="3"/>
  <c r="AL34" i="3" s="1"/>
  <c r="AK48" i="3"/>
  <c r="AL48" i="3" s="1"/>
  <c r="AK51" i="3"/>
  <c r="AM51" i="3" s="1"/>
  <c r="AK28" i="3"/>
  <c r="AM28" i="3" s="1"/>
  <c r="AK30" i="3"/>
  <c r="AL30" i="3" s="1"/>
  <c r="AK39" i="3"/>
  <c r="AM39" i="3" s="1"/>
  <c r="AK53" i="3"/>
  <c r="AL53" i="3" s="1"/>
  <c r="AK29" i="3"/>
  <c r="AM29" i="3" s="1"/>
  <c r="BG57" i="3"/>
  <c r="AM52" i="3"/>
  <c r="BH57" i="3"/>
  <c r="AL52" i="3"/>
  <c r="AG109" i="3"/>
  <c r="AE109" i="3"/>
  <c r="AH109" i="3"/>
  <c r="AB109" i="3"/>
  <c r="AD109" i="3"/>
  <c r="AF109" i="3"/>
  <c r="Z109" i="3"/>
  <c r="AC109" i="3"/>
  <c r="AA109" i="3"/>
  <c r="L110" i="3"/>
  <c r="V110" i="3"/>
  <c r="T110" i="3"/>
  <c r="W110" i="3"/>
  <c r="Q110" i="3"/>
  <c r="S110" i="3"/>
  <c r="U110" i="3"/>
  <c r="O110" i="3"/>
  <c r="R110" i="3"/>
  <c r="P110" i="3"/>
  <c r="H98" i="3" l="1"/>
  <c r="I99" i="3" s="1"/>
  <c r="H99" i="3" s="1"/>
  <c r="J99" i="3"/>
  <c r="AO99" i="3" s="1"/>
  <c r="AN98" i="3"/>
  <c r="AO98" i="3"/>
  <c r="AL32" i="3"/>
  <c r="AP32" i="3" s="1"/>
  <c r="AL54" i="3"/>
  <c r="AP54" i="3" s="1"/>
  <c r="AL46" i="3"/>
  <c r="AP46" i="3" s="1"/>
  <c r="AL51" i="3"/>
  <c r="AP51" i="3" s="1"/>
  <c r="AL37" i="3"/>
  <c r="AP37" i="3" s="1"/>
  <c r="AL40" i="3"/>
  <c r="AP40" i="3" s="1"/>
  <c r="AM26" i="3"/>
  <c r="AP26" i="3" s="1"/>
  <c r="AL45" i="3"/>
  <c r="AP45" i="3" s="1"/>
  <c r="AM43" i="3"/>
  <c r="AP43" i="3" s="1"/>
  <c r="AM36" i="3"/>
  <c r="AP36" i="3" s="1"/>
  <c r="AL42" i="3"/>
  <c r="AP42" i="3" s="1"/>
  <c r="AM31" i="3"/>
  <c r="AP31" i="3" s="1"/>
  <c r="AM49" i="3"/>
  <c r="AP49" i="3" s="1"/>
  <c r="AM48" i="3"/>
  <c r="AP48" i="3" s="1"/>
  <c r="AL38" i="3"/>
  <c r="AP38" i="3" s="1"/>
  <c r="AM30" i="3"/>
  <c r="AP30" i="3" s="1"/>
  <c r="AL27" i="3"/>
  <c r="AP27" i="3" s="1"/>
  <c r="AM41" i="3"/>
  <c r="AP41" i="3" s="1"/>
  <c r="AL44" i="3"/>
  <c r="AP44" i="3" s="1"/>
  <c r="AL47" i="3"/>
  <c r="AP47" i="3" s="1"/>
  <c r="AM33" i="3"/>
  <c r="AP33" i="3" s="1"/>
  <c r="AL35" i="3"/>
  <c r="AP35" i="3" s="1"/>
  <c r="AP52" i="3"/>
  <c r="AM34" i="3"/>
  <c r="AP34" i="3" s="1"/>
  <c r="AL39" i="3"/>
  <c r="AP39" i="3" s="1"/>
  <c r="AL50" i="3"/>
  <c r="AP50" i="3" s="1"/>
  <c r="AM53" i="3"/>
  <c r="AP53" i="3" s="1"/>
  <c r="AL29" i="3"/>
  <c r="AP29" i="3" s="1"/>
  <c r="AL28" i="3"/>
  <c r="AP28" i="3" s="1"/>
  <c r="AA110" i="3"/>
  <c r="AC110" i="3"/>
  <c r="Z110" i="3"/>
  <c r="AF110" i="3"/>
  <c r="AD110" i="3"/>
  <c r="AB110" i="3"/>
  <c r="AH110" i="3"/>
  <c r="AE110" i="3"/>
  <c r="AG110" i="3"/>
  <c r="L111" i="3"/>
  <c r="P111" i="3"/>
  <c r="R111" i="3"/>
  <c r="O111" i="3"/>
  <c r="U111" i="3"/>
  <c r="S111" i="3"/>
  <c r="Q111" i="3"/>
  <c r="W111" i="3"/>
  <c r="T111" i="3"/>
  <c r="V111" i="3"/>
  <c r="AN99" i="3" l="1"/>
  <c r="J100" i="3"/>
  <c r="AO100" i="3" s="1"/>
  <c r="I100" i="3"/>
  <c r="J101" i="3"/>
  <c r="AO101" i="3" s="1"/>
  <c r="AG111" i="3"/>
  <c r="AE111" i="3"/>
  <c r="AH111" i="3"/>
  <c r="AB111" i="3"/>
  <c r="AD111" i="3"/>
  <c r="AF111" i="3"/>
  <c r="Z111" i="3"/>
  <c r="AC111" i="3"/>
  <c r="AA111" i="3"/>
  <c r="L112" i="3"/>
  <c r="V112" i="3"/>
  <c r="T112" i="3"/>
  <c r="W112" i="3"/>
  <c r="Q112" i="3"/>
  <c r="S112" i="3"/>
  <c r="U112" i="3"/>
  <c r="O112" i="3"/>
  <c r="R112" i="3"/>
  <c r="P112" i="3"/>
  <c r="I101" i="3" l="1"/>
  <c r="I102" i="3" s="1"/>
  <c r="H100" i="3"/>
  <c r="AN100" i="3"/>
  <c r="AA112" i="3"/>
  <c r="AC112" i="3"/>
  <c r="Z112" i="3"/>
  <c r="AF112" i="3"/>
  <c r="AD112" i="3"/>
  <c r="AB112" i="3"/>
  <c r="AH112" i="3"/>
  <c r="AE112" i="3"/>
  <c r="AG112" i="3"/>
  <c r="L113" i="3"/>
  <c r="P113" i="3"/>
  <c r="R113" i="3"/>
  <c r="O113" i="3"/>
  <c r="U113" i="3"/>
  <c r="S113" i="3"/>
  <c r="Q113" i="3"/>
  <c r="W113" i="3"/>
  <c r="T113" i="3"/>
  <c r="V113" i="3"/>
  <c r="J102" i="3" l="1"/>
  <c r="AO102" i="3" s="1"/>
  <c r="AN101" i="3"/>
  <c r="AN102" i="3"/>
  <c r="I103" i="3"/>
  <c r="H103" i="3" s="1"/>
  <c r="H101" i="3"/>
  <c r="H102" i="3" s="1"/>
  <c r="AG113" i="3"/>
  <c r="AE113" i="3"/>
  <c r="AH113" i="3"/>
  <c r="AB113" i="3"/>
  <c r="AD113" i="3"/>
  <c r="AF113" i="3"/>
  <c r="Z113" i="3"/>
  <c r="AC113" i="3"/>
  <c r="AA113" i="3"/>
  <c r="L114" i="3"/>
  <c r="V114" i="3"/>
  <c r="T114" i="3"/>
  <c r="W114" i="3"/>
  <c r="Q114" i="3"/>
  <c r="S114" i="3"/>
  <c r="U114" i="3"/>
  <c r="O114" i="3"/>
  <c r="R114" i="3"/>
  <c r="P114" i="3"/>
  <c r="J103" i="3" l="1"/>
  <c r="AN103" i="3"/>
  <c r="AO103" i="3"/>
  <c r="I104" i="3"/>
  <c r="J104" i="3"/>
  <c r="AO104" i="3" s="1"/>
  <c r="AA114" i="3"/>
  <c r="AC114" i="3"/>
  <c r="Z114" i="3"/>
  <c r="AF114" i="3"/>
  <c r="AD114" i="3"/>
  <c r="AB114" i="3"/>
  <c r="AH114" i="3"/>
  <c r="AE114" i="3"/>
  <c r="AG114" i="3"/>
  <c r="L115" i="3"/>
  <c r="P115" i="3"/>
  <c r="R115" i="3"/>
  <c r="O115" i="3"/>
  <c r="U115" i="3"/>
  <c r="S115" i="3"/>
  <c r="Q115" i="3"/>
  <c r="W115" i="3"/>
  <c r="T115" i="3"/>
  <c r="V115" i="3"/>
  <c r="AN104" i="3" l="1"/>
  <c r="H104" i="3"/>
  <c r="I105" i="3"/>
  <c r="AN105" i="3"/>
  <c r="J105" i="3"/>
  <c r="AG115" i="3"/>
  <c r="AE115" i="3"/>
  <c r="AH115" i="3"/>
  <c r="AB115" i="3"/>
  <c r="AD115" i="3"/>
  <c r="AF115" i="3"/>
  <c r="Z115" i="3"/>
  <c r="AC115" i="3"/>
  <c r="AA115" i="3"/>
  <c r="L116" i="3"/>
  <c r="V116" i="3"/>
  <c r="T116" i="3"/>
  <c r="W116" i="3"/>
  <c r="Q116" i="3"/>
  <c r="S116" i="3"/>
  <c r="U116" i="3"/>
  <c r="O116" i="3"/>
  <c r="R116" i="3"/>
  <c r="P116" i="3"/>
  <c r="J106" i="3" l="1"/>
  <c r="AO106" i="3" s="1"/>
  <c r="I106" i="3"/>
  <c r="AO105" i="3"/>
  <c r="H105" i="3"/>
  <c r="AA116" i="3"/>
  <c r="AC116" i="3"/>
  <c r="Z116" i="3"/>
  <c r="AF116" i="3"/>
  <c r="AD116" i="3"/>
  <c r="AB116" i="3"/>
  <c r="AH116" i="3"/>
  <c r="AE116" i="3"/>
  <c r="AG116" i="3"/>
  <c r="L117" i="3"/>
  <c r="P117" i="3"/>
  <c r="R117" i="3"/>
  <c r="O117" i="3"/>
  <c r="U117" i="3"/>
  <c r="S117" i="3"/>
  <c r="Q117" i="3"/>
  <c r="W117" i="3"/>
  <c r="T117" i="3"/>
  <c r="V117" i="3"/>
  <c r="H106" i="3" l="1"/>
  <c r="AN106" i="3"/>
  <c r="I107" i="3"/>
  <c r="AN107" i="3" s="1"/>
  <c r="J107" i="3"/>
  <c r="AG117" i="3"/>
  <c r="AE117" i="3"/>
  <c r="AH117" i="3"/>
  <c r="AB117" i="3"/>
  <c r="AD117" i="3"/>
  <c r="AF117" i="3"/>
  <c r="Z117" i="3"/>
  <c r="AC117" i="3"/>
  <c r="AA117" i="3"/>
  <c r="L118" i="3"/>
  <c r="V118" i="3"/>
  <c r="AU34" i="3" s="1"/>
  <c r="T118" i="3"/>
  <c r="AU32" i="3" s="1"/>
  <c r="W118" i="3"/>
  <c r="AU35" i="3" s="1"/>
  <c r="Q118" i="3"/>
  <c r="AU29" i="3" s="1"/>
  <c r="S118" i="3"/>
  <c r="AU31" i="3" s="1"/>
  <c r="U118" i="3"/>
  <c r="AU33" i="3" s="1"/>
  <c r="O118" i="3"/>
  <c r="AU27" i="3" s="1"/>
  <c r="AJ55" i="3" s="1"/>
  <c r="R118" i="3"/>
  <c r="AU30" i="3" s="1"/>
  <c r="P118" i="3"/>
  <c r="AU28" i="3" s="1"/>
  <c r="BF59" i="3" s="1"/>
  <c r="H107" i="3" l="1"/>
  <c r="I108" i="3"/>
  <c r="AO107" i="3"/>
  <c r="J108" i="3"/>
  <c r="AO108" i="3" s="1"/>
  <c r="BF65" i="3"/>
  <c r="AA119" i="3"/>
  <c r="AA118" i="3"/>
  <c r="AC118" i="3"/>
  <c r="AC119" i="3"/>
  <c r="Z118" i="3"/>
  <c r="Z119" i="3"/>
  <c r="AF119" i="3"/>
  <c r="AF118" i="3"/>
  <c r="AD118" i="3"/>
  <c r="AD119" i="3"/>
  <c r="AB119" i="3"/>
  <c r="AB118" i="3"/>
  <c r="AH118" i="3"/>
  <c r="AH119" i="3"/>
  <c r="AE119" i="3"/>
  <c r="AE118" i="3"/>
  <c r="AG118" i="3"/>
  <c r="AG119" i="3"/>
  <c r="L119" i="3"/>
  <c r="L120" i="3" s="1"/>
  <c r="L121" i="3" s="1"/>
  <c r="L122" i="3" s="1"/>
  <c r="L123" i="3" s="1"/>
  <c r="L124" i="3" s="1"/>
  <c r="L125" i="3" s="1"/>
  <c r="L126" i="3" s="1"/>
  <c r="L127" i="3" s="1"/>
  <c r="L128" i="3" s="1"/>
  <c r="L129" i="3" s="1"/>
  <c r="L130" i="3" s="1"/>
  <c r="L131" i="3" s="1"/>
  <c r="L132" i="3" s="1"/>
  <c r="L133" i="3" s="1"/>
  <c r="L134" i="3" s="1"/>
  <c r="L135" i="3" s="1"/>
  <c r="L136" i="3" s="1"/>
  <c r="L137" i="3" s="1"/>
  <c r="L138" i="3" s="1"/>
  <c r="L139" i="3" s="1"/>
  <c r="L140" i="3" s="1"/>
  <c r="L141" i="3" s="1"/>
  <c r="L142" i="3" s="1"/>
  <c r="L143" i="3" s="1"/>
  <c r="L144" i="3" s="1"/>
  <c r="L145" i="3" s="1"/>
  <c r="L146" i="3" s="1"/>
  <c r="L147" i="3" s="1"/>
  <c r="L148" i="3" s="1"/>
  <c r="L149" i="3" s="1"/>
  <c r="L150" i="3" s="1"/>
  <c r="L151" i="3" s="1"/>
  <c r="L152" i="3" s="1"/>
  <c r="L153" i="3" s="1"/>
  <c r="L154" i="3" s="1"/>
  <c r="L155" i="3" s="1"/>
  <c r="L156" i="3" s="1"/>
  <c r="L157" i="3" s="1"/>
  <c r="L158" i="3" s="1"/>
  <c r="L159" i="3" s="1"/>
  <c r="L160" i="3" s="1"/>
  <c r="L161" i="3" s="1"/>
  <c r="L162" i="3" s="1"/>
  <c r="L163" i="3" s="1"/>
  <c r="L164" i="3" s="1"/>
  <c r="L165" i="3" s="1"/>
  <c r="L166" i="3" s="1"/>
  <c r="L167" i="3" s="1"/>
  <c r="L168" i="3" s="1"/>
  <c r="L169" i="3" s="1"/>
  <c r="L170" i="3" s="1"/>
  <c r="L171" i="3" s="1"/>
  <c r="L172" i="3" s="1"/>
  <c r="L173" i="3" s="1"/>
  <c r="L174" i="3" s="1"/>
  <c r="L175" i="3" s="1"/>
  <c r="L176" i="3" s="1"/>
  <c r="L177" i="3" s="1"/>
  <c r="L178" i="3" s="1"/>
  <c r="L179" i="3" s="1"/>
  <c r="L180" i="3" s="1"/>
  <c r="L181" i="3" s="1"/>
  <c r="L182" i="3" s="1"/>
  <c r="L183" i="3" s="1"/>
  <c r="L184" i="3" s="1"/>
  <c r="L185" i="3" s="1"/>
  <c r="L186" i="3" s="1"/>
  <c r="L187" i="3" s="1"/>
  <c r="L188" i="3" s="1"/>
  <c r="L189" i="3" s="1"/>
  <c r="L190" i="3" s="1"/>
  <c r="L191" i="3" s="1"/>
  <c r="L192" i="3" s="1"/>
  <c r="L193" i="3" s="1"/>
  <c r="L194" i="3" s="1"/>
  <c r="L195" i="3" s="1"/>
  <c r="L196" i="3" s="1"/>
  <c r="L197" i="3" s="1"/>
  <c r="L198" i="3" s="1"/>
  <c r="L199" i="3" s="1"/>
  <c r="L200" i="3" s="1"/>
  <c r="L201" i="3" s="1"/>
  <c r="L202" i="3" s="1"/>
  <c r="L203" i="3" s="1"/>
  <c r="L204" i="3" s="1"/>
  <c r="L205" i="3" s="1"/>
  <c r="L206" i="3" s="1"/>
  <c r="L207" i="3" s="1"/>
  <c r="L208" i="3" s="1"/>
  <c r="L209" i="3" s="1"/>
  <c r="L210" i="3" s="1"/>
  <c r="L211" i="3" s="1"/>
  <c r="L212" i="3" s="1"/>
  <c r="L213" i="3" s="1"/>
  <c r="L214" i="3" s="1"/>
  <c r="L215" i="3" s="1"/>
  <c r="L216" i="3" s="1"/>
  <c r="L217" i="3" s="1"/>
  <c r="L218" i="3" s="1"/>
  <c r="L219" i="3" s="1"/>
  <c r="L220" i="3" s="1"/>
  <c r="L221" i="3" s="1"/>
  <c r="L222" i="3" s="1"/>
  <c r="L223" i="3" s="1"/>
  <c r="L224" i="3" s="1"/>
  <c r="L225" i="3" s="1"/>
  <c r="L226" i="3" s="1"/>
  <c r="L227" i="3" s="1"/>
  <c r="L228" i="3" s="1"/>
  <c r="L229" i="3" s="1"/>
  <c r="L230" i="3" s="1"/>
  <c r="L231" i="3" s="1"/>
  <c r="L232" i="3" s="1"/>
  <c r="L233" i="3" s="1"/>
  <c r="L234" i="3" s="1"/>
  <c r="L235" i="3" s="1"/>
  <c r="L236" i="3" s="1"/>
  <c r="L237" i="3" s="1"/>
  <c r="L238" i="3" s="1"/>
  <c r="L239" i="3" s="1"/>
  <c r="L240" i="3" s="1"/>
  <c r="L241" i="3" s="1"/>
  <c r="L242" i="3" s="1"/>
  <c r="L243" i="3" s="1"/>
  <c r="L244" i="3" s="1"/>
  <c r="L245" i="3" s="1"/>
  <c r="L246" i="3" s="1"/>
  <c r="L247" i="3" s="1"/>
  <c r="L248" i="3" s="1"/>
  <c r="L249" i="3" s="1"/>
  <c r="L250" i="3" s="1"/>
  <c r="L251" i="3" s="1"/>
  <c r="L252" i="3" s="1"/>
  <c r="L253" i="3" s="1"/>
  <c r="L254" i="3" s="1"/>
  <c r="L255" i="3" s="1"/>
  <c r="L256" i="3" s="1"/>
  <c r="L257" i="3" s="1"/>
  <c r="L258" i="3" s="1"/>
  <c r="L259" i="3" s="1"/>
  <c r="L260" i="3" s="1"/>
  <c r="L261" i="3" s="1"/>
  <c r="L262" i="3" s="1"/>
  <c r="L263" i="3" s="1"/>
  <c r="L264" i="3" s="1"/>
  <c r="L265" i="3" s="1"/>
  <c r="L266" i="3" s="1"/>
  <c r="L267" i="3" s="1"/>
  <c r="L268" i="3" s="1"/>
  <c r="L269" i="3" s="1"/>
  <c r="L270" i="3" s="1"/>
  <c r="L271" i="3" s="1"/>
  <c r="L272" i="3" s="1"/>
  <c r="L273" i="3" s="1"/>
  <c r="L274" i="3" s="1"/>
  <c r="L275" i="3" s="1"/>
  <c r="L276" i="3" s="1"/>
  <c r="L277" i="3" s="1"/>
  <c r="L278" i="3" s="1"/>
  <c r="L279" i="3" s="1"/>
  <c r="L280" i="3" s="1"/>
  <c r="L281" i="3" s="1"/>
  <c r="L282" i="3" s="1"/>
  <c r="L283" i="3" s="1"/>
  <c r="L284" i="3" s="1"/>
  <c r="AJ118" i="3"/>
  <c r="AK118" i="3"/>
  <c r="AN108" i="3" l="1"/>
  <c r="H108" i="3"/>
  <c r="I109" i="3"/>
  <c r="AN109" i="3" s="1"/>
  <c r="J109" i="3"/>
  <c r="AV27" i="3"/>
  <c r="AK55" i="3" s="1"/>
  <c r="AV32" i="3"/>
  <c r="AV29" i="3"/>
  <c r="AV33" i="3"/>
  <c r="AV28" i="3"/>
  <c r="AV34" i="3"/>
  <c r="BG65" i="3" s="1"/>
  <c r="AV35" i="3"/>
  <c r="AV31" i="3"/>
  <c r="AV30" i="3"/>
  <c r="AJ56" i="3"/>
  <c r="AJ58" i="3"/>
  <c r="AJ62" i="3"/>
  <c r="AJ57" i="3"/>
  <c r="AJ60" i="3"/>
  <c r="AJ59" i="3"/>
  <c r="AJ61" i="3"/>
  <c r="AJ75" i="3"/>
  <c r="AJ77" i="3"/>
  <c r="AJ79" i="3"/>
  <c r="AJ81" i="3"/>
  <c r="AJ83" i="3"/>
  <c r="AJ85" i="3"/>
  <c r="AJ87" i="3"/>
  <c r="AJ89" i="3"/>
  <c r="AJ91" i="3"/>
  <c r="AJ76" i="3"/>
  <c r="AJ78" i="3"/>
  <c r="AJ80" i="3"/>
  <c r="AJ82" i="3"/>
  <c r="AJ84" i="3"/>
  <c r="AJ86" i="3"/>
  <c r="AJ88" i="3"/>
  <c r="AJ90" i="3"/>
  <c r="AJ92" i="3"/>
  <c r="AJ63" i="3"/>
  <c r="AJ67" i="3"/>
  <c r="AJ64" i="3"/>
  <c r="AJ68" i="3"/>
  <c r="AJ65" i="3"/>
  <c r="AJ69" i="3"/>
  <c r="AJ73" i="3"/>
  <c r="AJ66" i="3"/>
  <c r="AJ70" i="3"/>
  <c r="AJ74" i="3"/>
  <c r="AJ71" i="3"/>
  <c r="AJ72" i="3"/>
  <c r="BF63" i="3"/>
  <c r="BE63" i="3"/>
  <c r="BF60" i="3"/>
  <c r="BE60" i="3"/>
  <c r="BF64" i="3"/>
  <c r="BE64" i="3"/>
  <c r="AK107" i="3"/>
  <c r="BE61" i="3"/>
  <c r="BF61" i="3"/>
  <c r="AL118" i="3"/>
  <c r="AM118" i="3"/>
  <c r="AP118" i="3" s="1"/>
  <c r="BF66" i="3"/>
  <c r="BE66" i="3"/>
  <c r="BE62" i="3"/>
  <c r="BF62" i="3"/>
  <c r="AJ93" i="3"/>
  <c r="AJ95" i="3"/>
  <c r="AJ97" i="3"/>
  <c r="AJ99" i="3"/>
  <c r="AJ94" i="3"/>
  <c r="AJ96" i="3"/>
  <c r="AJ98" i="3"/>
  <c r="AJ100" i="3"/>
  <c r="BE58" i="3"/>
  <c r="AJ101" i="3"/>
  <c r="BF58" i="3"/>
  <c r="AJ102" i="3"/>
  <c r="AJ103" i="3"/>
  <c r="AJ104" i="3"/>
  <c r="AJ105" i="3"/>
  <c r="AJ106" i="3"/>
  <c r="BE59" i="3"/>
  <c r="AJ107" i="3"/>
  <c r="AJ108" i="3"/>
  <c r="AJ109" i="3"/>
  <c r="AJ110" i="3"/>
  <c r="AJ111" i="3"/>
  <c r="AJ112" i="3"/>
  <c r="AJ113" i="3"/>
  <c r="AJ114" i="3"/>
  <c r="AJ115" i="3"/>
  <c r="AJ116" i="3"/>
  <c r="AJ117" i="3"/>
  <c r="AK108" i="3"/>
  <c r="AK109" i="3"/>
  <c r="AK110" i="3"/>
  <c r="AK111" i="3"/>
  <c r="AK112" i="3"/>
  <c r="AK113" i="3"/>
  <c r="AK114" i="3"/>
  <c r="AK115" i="3"/>
  <c r="AK116" i="3"/>
  <c r="AK117" i="3"/>
  <c r="AL55" i="3" l="1"/>
  <c r="AM55" i="3"/>
  <c r="AO109" i="3"/>
  <c r="H109" i="3"/>
  <c r="I110" i="3"/>
  <c r="AN110" i="3" s="1"/>
  <c r="J110" i="3"/>
  <c r="AO110" i="3" s="1"/>
  <c r="BG63" i="3"/>
  <c r="BH58" i="3"/>
  <c r="BI58" i="3"/>
  <c r="BI59" i="3" s="1"/>
  <c r="BG59" i="3"/>
  <c r="BG60" i="3"/>
  <c r="BH59" i="3"/>
  <c r="BG64" i="3"/>
  <c r="BH61" i="3"/>
  <c r="BH66" i="3"/>
  <c r="BG61" i="3"/>
  <c r="BH65" i="3"/>
  <c r="AK56" i="3"/>
  <c r="AL56" i="3" s="1"/>
  <c r="AK60" i="3"/>
  <c r="AL60" i="3" s="1"/>
  <c r="AK59" i="3"/>
  <c r="AL59" i="3" s="1"/>
  <c r="AK58" i="3"/>
  <c r="AL58" i="3" s="1"/>
  <c r="AK62" i="3"/>
  <c r="AL62" i="3" s="1"/>
  <c r="AK57" i="3"/>
  <c r="AL57" i="3" s="1"/>
  <c r="AK61" i="3"/>
  <c r="AL61" i="3" s="1"/>
  <c r="AK76" i="3"/>
  <c r="AM76" i="3" s="1"/>
  <c r="AK77" i="3"/>
  <c r="AL77" i="3" s="1"/>
  <c r="AK79" i="3"/>
  <c r="AM79" i="3" s="1"/>
  <c r="AK81" i="3"/>
  <c r="AM81" i="3" s="1"/>
  <c r="AK83" i="3"/>
  <c r="AM83" i="3" s="1"/>
  <c r="AK85" i="3"/>
  <c r="AM85" i="3" s="1"/>
  <c r="AK87" i="3"/>
  <c r="AM87" i="3" s="1"/>
  <c r="AK89" i="3"/>
  <c r="AM89" i="3" s="1"/>
  <c r="AK91" i="3"/>
  <c r="AL91" i="3" s="1"/>
  <c r="AK90" i="3"/>
  <c r="AL90" i="3" s="1"/>
  <c r="AK75" i="3"/>
  <c r="AM75" i="3" s="1"/>
  <c r="AK78" i="3"/>
  <c r="AL78" i="3" s="1"/>
  <c r="AK80" i="3"/>
  <c r="AL80" i="3" s="1"/>
  <c r="AK82" i="3"/>
  <c r="AL82" i="3" s="1"/>
  <c r="AK84" i="3"/>
  <c r="AL84" i="3" s="1"/>
  <c r="AK86" i="3"/>
  <c r="AM86" i="3" s="1"/>
  <c r="AK88" i="3"/>
  <c r="AM88" i="3" s="1"/>
  <c r="AK92" i="3"/>
  <c r="AL92" i="3" s="1"/>
  <c r="AM91" i="3"/>
  <c r="BH62" i="3"/>
  <c r="AK64" i="3"/>
  <c r="AL64" i="3" s="1"/>
  <c r="AK68" i="3"/>
  <c r="AL68" i="3" s="1"/>
  <c r="AK63" i="3"/>
  <c r="AL63" i="3" s="1"/>
  <c r="AK71" i="3"/>
  <c r="AL71" i="3" s="1"/>
  <c r="AK66" i="3"/>
  <c r="AL66" i="3" s="1"/>
  <c r="AK70" i="3"/>
  <c r="AL70" i="3" s="1"/>
  <c r="AK74" i="3"/>
  <c r="AL74" i="3" s="1"/>
  <c r="AK65" i="3"/>
  <c r="AM65" i="3" s="1"/>
  <c r="AK69" i="3"/>
  <c r="AM69" i="3" s="1"/>
  <c r="AK73" i="3"/>
  <c r="AM73" i="3" s="1"/>
  <c r="AK72" i="3"/>
  <c r="AL72" i="3" s="1"/>
  <c r="AK67" i="3"/>
  <c r="AL67" i="3" s="1"/>
  <c r="AM117" i="3"/>
  <c r="AP117" i="3" s="1"/>
  <c r="AL117" i="3"/>
  <c r="AM115" i="3"/>
  <c r="AP115" i="3" s="1"/>
  <c r="AL115" i="3"/>
  <c r="AM113" i="3"/>
  <c r="AP113" i="3" s="1"/>
  <c r="AL113" i="3"/>
  <c r="AM111" i="3"/>
  <c r="AP111" i="3" s="1"/>
  <c r="AL111" i="3"/>
  <c r="AM109" i="3"/>
  <c r="AP109" i="3" s="1"/>
  <c r="AL109" i="3"/>
  <c r="AM107" i="3"/>
  <c r="AL107" i="3"/>
  <c r="BH64" i="3"/>
  <c r="BH60" i="3"/>
  <c r="BH63" i="3"/>
  <c r="AL116" i="3"/>
  <c r="AM116" i="3"/>
  <c r="AP116" i="3" s="1"/>
  <c r="AL114" i="3"/>
  <c r="AM114" i="3"/>
  <c r="AP114" i="3" s="1"/>
  <c r="AL112" i="3"/>
  <c r="AM112" i="3"/>
  <c r="AP112" i="3" s="1"/>
  <c r="AL110" i="3"/>
  <c r="AM110" i="3"/>
  <c r="AP110" i="3" s="1"/>
  <c r="AL108" i="3"/>
  <c r="AM108" i="3"/>
  <c r="AP108" i="3" s="1"/>
  <c r="AK93" i="3"/>
  <c r="AL93" i="3" s="1"/>
  <c r="AK95" i="3"/>
  <c r="AL95" i="3" s="1"/>
  <c r="AK97" i="3"/>
  <c r="AL97" i="3" s="1"/>
  <c r="AK99" i="3"/>
  <c r="AM99" i="3" s="1"/>
  <c r="AK94" i="3"/>
  <c r="AM94" i="3" s="1"/>
  <c r="AK96" i="3"/>
  <c r="AL96" i="3" s="1"/>
  <c r="AK98" i="3"/>
  <c r="AM98" i="3" s="1"/>
  <c r="AK100" i="3"/>
  <c r="AM100" i="3" s="1"/>
  <c r="AK101" i="3"/>
  <c r="AM101" i="3" s="1"/>
  <c r="AK102" i="3"/>
  <c r="AM102" i="3" s="1"/>
  <c r="BG58" i="3"/>
  <c r="AK103" i="3"/>
  <c r="AL103" i="3" s="1"/>
  <c r="AK104" i="3"/>
  <c r="AL104" i="3" s="1"/>
  <c r="AK105" i="3"/>
  <c r="AM105" i="3" s="1"/>
  <c r="AK106" i="3"/>
  <c r="AL106" i="3" s="1"/>
  <c r="BG62" i="3"/>
  <c r="BG66" i="3"/>
  <c r="AP55" i="3" l="1"/>
  <c r="I111" i="3"/>
  <c r="H110" i="3"/>
  <c r="J111" i="3"/>
  <c r="AM84" i="3"/>
  <c r="AP84" i="3" s="1"/>
  <c r="AL75" i="3"/>
  <c r="AP75" i="3" s="1"/>
  <c r="AL76" i="3"/>
  <c r="AP76" i="3" s="1"/>
  <c r="AL83" i="3"/>
  <c r="AP83" i="3" s="1"/>
  <c r="AM71" i="3"/>
  <c r="AP71" i="3" s="1"/>
  <c r="AM77" i="3"/>
  <c r="AP77" i="3" s="1"/>
  <c r="AL85" i="3"/>
  <c r="AM56" i="3"/>
  <c r="AP56" i="3" s="1"/>
  <c r="AL81" i="3"/>
  <c r="AP81" i="3" s="1"/>
  <c r="AL89" i="3"/>
  <c r="AP89" i="3" s="1"/>
  <c r="AM80" i="3"/>
  <c r="AP80" i="3" s="1"/>
  <c r="AL88" i="3"/>
  <c r="AM57" i="3"/>
  <c r="AP57" i="3" s="1"/>
  <c r="AL79" i="3"/>
  <c r="AP79" i="3" s="1"/>
  <c r="AL87" i="3"/>
  <c r="AP87" i="3" s="1"/>
  <c r="AM78" i="3"/>
  <c r="AP78" i="3" s="1"/>
  <c r="AL86" i="3"/>
  <c r="AP86" i="3" s="1"/>
  <c r="AL73" i="3"/>
  <c r="AP73" i="3" s="1"/>
  <c r="AM60" i="3"/>
  <c r="AP60" i="3" s="1"/>
  <c r="AM58" i="3"/>
  <c r="AP58" i="3" s="1"/>
  <c r="AM63" i="3"/>
  <c r="AP63" i="3" s="1"/>
  <c r="AM62" i="3"/>
  <c r="AP62" i="3" s="1"/>
  <c r="AM61" i="3"/>
  <c r="AP61" i="3" s="1"/>
  <c r="AM92" i="3"/>
  <c r="AP92" i="3" s="1"/>
  <c r="AM59" i="3"/>
  <c r="AP59" i="3" s="1"/>
  <c r="AM82" i="3"/>
  <c r="AP82" i="3" s="1"/>
  <c r="AM90" i="3"/>
  <c r="AP90" i="3" s="1"/>
  <c r="AP85" i="3"/>
  <c r="AL65" i="3"/>
  <c r="AP65" i="3" s="1"/>
  <c r="AM70" i="3"/>
  <c r="AP70" i="3" s="1"/>
  <c r="AM93" i="3"/>
  <c r="AP93" i="3" s="1"/>
  <c r="AP107" i="3"/>
  <c r="AP88" i="3"/>
  <c r="AP91" i="3"/>
  <c r="AM97" i="3"/>
  <c r="AP97" i="3" s="1"/>
  <c r="AM68" i="3"/>
  <c r="AP68" i="3" s="1"/>
  <c r="AM66" i="3"/>
  <c r="AP66" i="3" s="1"/>
  <c r="AM72" i="3"/>
  <c r="AP72" i="3" s="1"/>
  <c r="AM64" i="3"/>
  <c r="AP64" i="3" s="1"/>
  <c r="AM67" i="3"/>
  <c r="AP67" i="3" s="1"/>
  <c r="AL69" i="3"/>
  <c r="AP69" i="3" s="1"/>
  <c r="AM74" i="3"/>
  <c r="AP74" i="3" s="1"/>
  <c r="AL94" i="3"/>
  <c r="AP94" i="3" s="1"/>
  <c r="AL98" i="3"/>
  <c r="AP98" i="3" s="1"/>
  <c r="AM103" i="3"/>
  <c r="AP103" i="3" s="1"/>
  <c r="AL105" i="3"/>
  <c r="AP105" i="3" s="1"/>
  <c r="AM95" i="3"/>
  <c r="AP95" i="3" s="1"/>
  <c r="AL99" i="3"/>
  <c r="AP99" i="3" s="1"/>
  <c r="AM96" i="3"/>
  <c r="AP96" i="3" s="1"/>
  <c r="AL100" i="3"/>
  <c r="AP100" i="3" s="1"/>
  <c r="AL101" i="3"/>
  <c r="AP101" i="3" s="1"/>
  <c r="AL102" i="3"/>
  <c r="AP102" i="3" s="1"/>
  <c r="AM104" i="3"/>
  <c r="AP104" i="3" s="1"/>
  <c r="AM106" i="3"/>
  <c r="AP106" i="3" s="1"/>
  <c r="J112" i="3" l="1"/>
  <c r="AO112" i="3" s="1"/>
  <c r="AO111" i="3"/>
  <c r="H111" i="3"/>
  <c r="I112" i="3"/>
  <c r="AN112" i="3" s="1"/>
  <c r="AN111" i="3"/>
  <c r="J113" i="3" l="1"/>
  <c r="AO113" i="3" s="1"/>
  <c r="H112" i="3"/>
  <c r="I113" i="3"/>
  <c r="I114" i="3" l="1"/>
  <c r="AN114" i="3" s="1"/>
  <c r="AN113" i="3"/>
  <c r="H113" i="3"/>
  <c r="J114" i="3"/>
  <c r="H114" i="3" l="1"/>
  <c r="AO114" i="3"/>
  <c r="J115" i="3"/>
  <c r="AO115" i="3" s="1"/>
  <c r="I115" i="3"/>
  <c r="J116" i="3" l="1"/>
  <c r="H115" i="3"/>
  <c r="I116" i="3"/>
  <c r="AN116" i="3" s="1"/>
  <c r="AN115" i="3"/>
  <c r="H116" i="3" l="1"/>
  <c r="AO116" i="3"/>
  <c r="I117" i="3"/>
  <c r="AN117" i="3" s="1"/>
  <c r="J117" i="3"/>
  <c r="AO117" i="3" s="1"/>
  <c r="J118" i="3" l="1"/>
  <c r="AO118" i="3" s="1"/>
  <c r="I118" i="3"/>
  <c r="H117" i="3"/>
  <c r="J119" i="3" l="1"/>
  <c r="AO119" i="3" s="1"/>
  <c r="AN118" i="3"/>
  <c r="I119" i="3"/>
  <c r="AN119" i="3" s="1"/>
  <c r="H118" i="3"/>
  <c r="H119" i="3" l="1"/>
  <c r="J120" i="3"/>
  <c r="AO120" i="3" s="1"/>
  <c r="I120" i="3"/>
  <c r="I121" i="3" l="1"/>
  <c r="AN120" i="3"/>
  <c r="J121" i="3"/>
  <c r="AO121" i="3" s="1"/>
  <c r="H120" i="3"/>
  <c r="J122" i="3" l="1"/>
  <c r="AO122" i="3" s="1"/>
  <c r="H121" i="3"/>
  <c r="I122" i="3"/>
  <c r="AN121" i="3"/>
  <c r="J123" i="3" l="1"/>
  <c r="AO123" i="3" s="1"/>
  <c r="H122" i="3"/>
  <c r="I123" i="3"/>
  <c r="AN122" i="3"/>
  <c r="I124" i="3" l="1"/>
  <c r="J125" i="3" s="1"/>
  <c r="AO125" i="3" s="1"/>
  <c r="J124" i="3"/>
  <c r="AO124" i="3" s="1"/>
  <c r="AN123" i="3"/>
  <c r="H123" i="3"/>
  <c r="I125" i="3" l="1"/>
  <c r="I126" i="3" s="1"/>
  <c r="AN126" i="3" s="1"/>
  <c r="AN124" i="3"/>
  <c r="H124" i="3"/>
  <c r="H125" i="3" s="1"/>
  <c r="J126" i="3"/>
  <c r="AO126" i="3" s="1"/>
  <c r="H126" i="3" l="1"/>
  <c r="AN125" i="3"/>
  <c r="J127" i="3"/>
  <c r="AO127" i="3" s="1"/>
  <c r="I127" i="3"/>
  <c r="AN127" i="3" l="1"/>
  <c r="I128" i="3"/>
  <c r="H127" i="3"/>
  <c r="J128" i="3"/>
  <c r="AO128" i="3" s="1"/>
  <c r="AN128" i="3" l="1"/>
  <c r="H128" i="3"/>
  <c r="J129" i="3"/>
  <c r="AO129" i="3" s="1"/>
  <c r="I129" i="3"/>
  <c r="AN129" i="3" s="1"/>
  <c r="H129" i="3" l="1"/>
  <c r="J130" i="3"/>
  <c r="AO130" i="3" s="1"/>
  <c r="I130" i="3"/>
  <c r="J131" i="3" l="1"/>
  <c r="AO131" i="3" s="1"/>
  <c r="I131" i="3"/>
  <c r="H130" i="3"/>
  <c r="AN130" i="3"/>
  <c r="J132" i="3" l="1"/>
  <c r="AO132" i="3" s="1"/>
  <c r="H131" i="3"/>
  <c r="AN131" i="3"/>
  <c r="I132" i="3"/>
  <c r="AN132" i="3" s="1"/>
  <c r="I133" i="3" l="1"/>
  <c r="H132" i="3"/>
  <c r="J133" i="3"/>
  <c r="AO133" i="3" l="1"/>
  <c r="H133" i="3"/>
  <c r="I134" i="3"/>
  <c r="AN134" i="3" s="1"/>
  <c r="J134" i="3"/>
  <c r="AO134" i="3" s="1"/>
  <c r="AN133" i="3"/>
  <c r="J135" i="3" l="1"/>
  <c r="AO135" i="3" s="1"/>
  <c r="H134" i="3"/>
  <c r="I135" i="3"/>
  <c r="H135" i="3" l="1"/>
  <c r="J136" i="3"/>
  <c r="AN135" i="3"/>
  <c r="I136" i="3"/>
  <c r="H136" i="3" l="1"/>
  <c r="AN136" i="3"/>
  <c r="I137" i="3"/>
  <c r="AN137" i="3" s="1"/>
  <c r="AO136" i="3"/>
  <c r="J137" i="3"/>
  <c r="AO137" i="3" s="1"/>
  <c r="I138" i="3" l="1"/>
  <c r="I139" i="3" s="1"/>
  <c r="J138" i="3"/>
  <c r="AO138" i="3" s="1"/>
  <c r="H137" i="3"/>
  <c r="AN138" i="3" l="1"/>
  <c r="H138" i="3"/>
  <c r="H139" i="3" s="1"/>
  <c r="J139" i="3"/>
  <c r="I140" i="3" s="1"/>
  <c r="AN139" i="3"/>
  <c r="AN140" i="3" l="1"/>
  <c r="H140" i="3"/>
  <c r="J140" i="3"/>
  <c r="J141" i="3" s="1"/>
  <c r="AO141" i="3" s="1"/>
  <c r="AO139" i="3"/>
  <c r="AO140" i="3" l="1"/>
  <c r="I141" i="3"/>
  <c r="H141" i="3" l="1"/>
  <c r="AN141" i="3"/>
  <c r="I142" i="3"/>
  <c r="J142" i="3"/>
  <c r="AO142" i="3" s="1"/>
  <c r="H142" i="3" l="1"/>
  <c r="I143" i="3"/>
  <c r="H143" i="3" s="1"/>
  <c r="J143" i="3"/>
  <c r="AO143" i="3" s="1"/>
  <c r="AN142" i="3"/>
  <c r="J144" i="3" l="1"/>
  <c r="AO144" i="3" s="1"/>
  <c r="I144" i="3"/>
  <c r="AN143" i="3"/>
  <c r="J145" i="3" l="1"/>
  <c r="AO145" i="3" s="1"/>
  <c r="H144" i="3"/>
  <c r="AN144" i="3"/>
  <c r="I145" i="3"/>
  <c r="AN145" i="3" s="1"/>
  <c r="H145" i="3" l="1"/>
  <c r="I146" i="3"/>
  <c r="AN146" i="3" s="1"/>
  <c r="J146" i="3"/>
  <c r="AO146" i="3" s="1"/>
  <c r="H146" i="3" l="1"/>
  <c r="J147" i="3"/>
  <c r="AO147" i="3" s="1"/>
  <c r="I147" i="3"/>
  <c r="H147" i="3" l="1"/>
  <c r="AN147" i="3"/>
  <c r="I148" i="3"/>
  <c r="AN148" i="3" s="1"/>
  <c r="J148" i="3"/>
  <c r="AO148" i="3" l="1"/>
  <c r="J149" i="3"/>
  <c r="AO149" i="3" s="1"/>
  <c r="H148" i="3"/>
  <c r="I149" i="3"/>
  <c r="H149" i="3" l="1"/>
  <c r="J150" i="3"/>
  <c r="AO150" i="3" s="1"/>
  <c r="AN149" i="3"/>
  <c r="I150" i="3"/>
  <c r="I151" i="3" l="1"/>
  <c r="H150" i="3"/>
  <c r="J151" i="3"/>
  <c r="AN150" i="3"/>
  <c r="J152" i="3" l="1"/>
  <c r="AN151" i="3"/>
  <c r="I152" i="3"/>
  <c r="J153" i="3" s="1"/>
  <c r="AO153" i="3" s="1"/>
  <c r="AO151" i="3"/>
  <c r="AO152" i="3"/>
  <c r="H151" i="3"/>
  <c r="AN152" i="3" l="1"/>
  <c r="H152" i="3"/>
  <c r="I153" i="3"/>
  <c r="J154" i="3" l="1"/>
  <c r="H153" i="3"/>
  <c r="I154" i="3"/>
  <c r="J155" i="3" s="1"/>
  <c r="AN153" i="3"/>
  <c r="AO154" i="3" l="1"/>
  <c r="AO155" i="3"/>
  <c r="H154" i="3"/>
  <c r="I155" i="3"/>
  <c r="I156" i="3" s="1"/>
  <c r="AN156" i="3" s="1"/>
  <c r="AN154" i="3"/>
  <c r="AN155" i="3" l="1"/>
  <c r="J156" i="3"/>
  <c r="AO156" i="3" s="1"/>
  <c r="H155" i="3"/>
  <c r="H156" i="3" s="1"/>
  <c r="J157" i="3" l="1"/>
  <c r="AO157" i="3" s="1"/>
  <c r="I157" i="3"/>
  <c r="J158" i="3" s="1"/>
  <c r="AO158" i="3" s="1"/>
  <c r="H157" i="3" l="1"/>
  <c r="AN157" i="3"/>
  <c r="I158" i="3"/>
  <c r="J159" i="3" s="1"/>
  <c r="AO159" i="3" s="1"/>
  <c r="AN158" i="3" l="1"/>
  <c r="I159" i="3"/>
  <c r="I160" i="3" s="1"/>
  <c r="H158" i="3"/>
  <c r="AN160" i="3" l="1"/>
  <c r="J160" i="3"/>
  <c r="AO160" i="3" s="1"/>
  <c r="AN159" i="3"/>
  <c r="H159" i="3"/>
  <c r="H160" i="3" s="1"/>
  <c r="J161" i="3" l="1"/>
  <c r="AO161" i="3" s="1"/>
  <c r="I161" i="3"/>
  <c r="H161" i="3" l="1"/>
  <c r="I162" i="3"/>
  <c r="AN161" i="3"/>
  <c r="J162" i="3"/>
  <c r="AO162" i="3" s="1"/>
  <c r="J163" i="3" l="1"/>
  <c r="AO163" i="3" s="1"/>
  <c r="AN162" i="3"/>
  <c r="H162" i="3"/>
  <c r="I163" i="3"/>
  <c r="H163" i="3" s="1"/>
  <c r="AN163" i="3" l="1"/>
  <c r="J164" i="3"/>
  <c r="AO164" i="3" s="1"/>
  <c r="I164" i="3"/>
  <c r="H164" i="3" l="1"/>
  <c r="J165" i="3"/>
  <c r="AO165" i="3" s="1"/>
  <c r="I165" i="3"/>
  <c r="AN165" i="3" s="1"/>
  <c r="AN164" i="3"/>
  <c r="H165" i="3" l="1"/>
  <c r="I166" i="3"/>
  <c r="J166" i="3"/>
  <c r="AO166" i="3" s="1"/>
  <c r="H166" i="3" l="1"/>
  <c r="AN166" i="3"/>
  <c r="J167" i="3"/>
  <c r="AO167" i="3" s="1"/>
  <c r="I167" i="3"/>
  <c r="H167" i="3" l="1"/>
  <c r="J168" i="3"/>
  <c r="I168" i="3"/>
  <c r="AN167" i="3"/>
  <c r="H168" i="3" l="1"/>
  <c r="AN168" i="3"/>
  <c r="J169" i="3"/>
  <c r="AO169" i="3" s="1"/>
  <c r="AO168" i="3"/>
  <c r="I169" i="3"/>
  <c r="H169" i="3" l="1"/>
  <c r="I170" i="3"/>
  <c r="AN169" i="3"/>
  <c r="J170" i="3"/>
  <c r="AO170" i="3" s="1"/>
  <c r="J171" i="3" l="1"/>
  <c r="AO171" i="3" s="1"/>
  <c r="H170" i="3"/>
  <c r="I171" i="3"/>
  <c r="J172" i="3" s="1"/>
  <c r="AO172" i="3" s="1"/>
  <c r="AN170" i="3"/>
  <c r="I172" i="3" l="1"/>
  <c r="AN172" i="3" s="1"/>
  <c r="H171" i="3"/>
  <c r="AN171" i="3"/>
  <c r="I173" i="3" l="1"/>
  <c r="AN173" i="3" s="1"/>
  <c r="J173" i="3"/>
  <c r="AO173" i="3" s="1"/>
  <c r="H172" i="3"/>
  <c r="H173" i="3" s="1"/>
  <c r="J174" i="3"/>
  <c r="AO174" i="3" s="1"/>
  <c r="I174" i="3"/>
  <c r="AN174" i="3" s="1"/>
  <c r="H174" i="3" l="1"/>
  <c r="J175" i="3"/>
  <c r="AO175" i="3" s="1"/>
  <c r="I175" i="3"/>
  <c r="H175" i="3" l="1"/>
  <c r="AN175" i="3"/>
  <c r="I176" i="3"/>
  <c r="AN176" i="3" s="1"/>
  <c r="J176" i="3"/>
  <c r="AO176" i="3" s="1"/>
  <c r="I177" i="3" l="1"/>
  <c r="J177" i="3"/>
  <c r="AO177" i="3" s="1"/>
  <c r="H176" i="3"/>
  <c r="I178" i="3" l="1"/>
  <c r="H177" i="3"/>
  <c r="AN177" i="3"/>
  <c r="J178" i="3"/>
  <c r="AO178" i="3" s="1"/>
  <c r="J179" i="3" l="1"/>
  <c r="AO179" i="3" s="1"/>
  <c r="H178" i="3"/>
  <c r="AN178" i="3"/>
  <c r="I179" i="3"/>
  <c r="AN179" i="3" s="1"/>
  <c r="I180" i="3" l="1"/>
  <c r="AN180" i="3" s="1"/>
  <c r="H179" i="3"/>
  <c r="J180" i="3"/>
  <c r="H180" i="3" l="1"/>
  <c r="AO180" i="3"/>
  <c r="I181" i="3"/>
  <c r="J181" i="3"/>
  <c r="AO181" i="3" s="1"/>
  <c r="I182" i="3" l="1"/>
  <c r="AN182" i="3" s="1"/>
  <c r="AN181" i="3"/>
  <c r="H181" i="3"/>
  <c r="J182" i="3"/>
  <c r="I183" i="3" l="1"/>
  <c r="AN183" i="3" s="1"/>
  <c r="AO182" i="3"/>
  <c r="H182" i="3"/>
  <c r="H183" i="3" s="1"/>
  <c r="J183" i="3"/>
  <c r="AO183" i="3" s="1"/>
  <c r="I184" i="3" l="1"/>
  <c r="J184" i="3"/>
  <c r="AO184" i="3" s="1"/>
  <c r="AN184" i="3" l="1"/>
  <c r="J185" i="3"/>
  <c r="AO185" i="3" s="1"/>
  <c r="I185" i="3"/>
  <c r="H184" i="3"/>
  <c r="H185" i="3" l="1"/>
  <c r="J186" i="3"/>
  <c r="AO186" i="3" s="1"/>
  <c r="AN185" i="3"/>
  <c r="I186" i="3"/>
  <c r="I187" i="3" s="1"/>
  <c r="AN186" i="3" l="1"/>
  <c r="AN187" i="3"/>
  <c r="H186" i="3"/>
  <c r="H187" i="3" s="1"/>
  <c r="J187" i="3"/>
  <c r="AO187" i="3" l="1"/>
  <c r="I188" i="3"/>
  <c r="J189" i="3" s="1"/>
  <c r="AO189" i="3" s="1"/>
  <c r="J188" i="3"/>
  <c r="AO188" i="3" s="1"/>
  <c r="H188" i="3" l="1"/>
  <c r="I189" i="3"/>
  <c r="I190" i="3" s="1"/>
  <c r="AN190" i="3" s="1"/>
  <c r="AN188" i="3"/>
  <c r="AN189" i="3" l="1"/>
  <c r="J190" i="3"/>
  <c r="AO190" i="3" s="1"/>
  <c r="H189" i="3"/>
  <c r="H190" i="3" s="1"/>
  <c r="I191" i="3" l="1"/>
  <c r="J192" i="3" s="1"/>
  <c r="AO192" i="3" s="1"/>
  <c r="J191" i="3"/>
  <c r="I192" i="3"/>
  <c r="AN192" i="3" s="1"/>
  <c r="H191" i="3"/>
  <c r="H192" i="3" s="1"/>
  <c r="I193" i="3"/>
  <c r="AN191" i="3"/>
  <c r="AO191" i="3"/>
  <c r="J193" i="3" l="1"/>
  <c r="AO193" i="3" s="1"/>
  <c r="H193" i="3"/>
  <c r="AN193" i="3"/>
  <c r="J194" i="3"/>
  <c r="AO194" i="3" s="1"/>
  <c r="I194" i="3" l="1"/>
  <c r="J195" i="3" s="1"/>
  <c r="AO195" i="3" s="1"/>
  <c r="H194" i="3" l="1"/>
  <c r="H195" i="3" s="1"/>
  <c r="I195" i="3"/>
  <c r="AN194" i="3"/>
  <c r="I196" i="3"/>
  <c r="J196" i="3"/>
  <c r="AO196" i="3" s="1"/>
  <c r="AN195" i="3"/>
  <c r="I197" i="3" l="1"/>
  <c r="AN197" i="3" s="1"/>
  <c r="AN196" i="3"/>
  <c r="J197" i="3"/>
  <c r="AO197" i="3" s="1"/>
  <c r="H196" i="3"/>
  <c r="H197" i="3" l="1"/>
  <c r="I198" i="3"/>
  <c r="J198" i="3"/>
  <c r="J199" i="3" l="1"/>
  <c r="AO199" i="3" s="1"/>
  <c r="H198" i="3"/>
  <c r="I199" i="3"/>
  <c r="AO198" i="3"/>
  <c r="AN198" i="3"/>
  <c r="H199" i="3" l="1"/>
  <c r="I200" i="3"/>
  <c r="AN199" i="3"/>
  <c r="J200" i="3"/>
  <c r="H200" i="3" l="1"/>
  <c r="J201" i="3"/>
  <c r="AO201" i="3" s="1"/>
  <c r="AO200" i="3"/>
  <c r="I201" i="3"/>
  <c r="AN200" i="3"/>
  <c r="I202" i="3" l="1"/>
  <c r="AN202" i="3" s="1"/>
  <c r="H201" i="3"/>
  <c r="AN201" i="3"/>
  <c r="J202" i="3"/>
  <c r="AO202" i="3" s="1"/>
  <c r="I203" i="3" l="1"/>
  <c r="AN203" i="3" s="1"/>
  <c r="J203" i="3"/>
  <c r="H202" i="3"/>
  <c r="H203" i="3" l="1"/>
  <c r="AO203" i="3"/>
  <c r="I204" i="3"/>
  <c r="J204" i="3"/>
  <c r="AO204" i="3" s="1"/>
  <c r="H204" i="3" l="1"/>
  <c r="I205" i="3"/>
  <c r="AN205" i="3" s="1"/>
  <c r="AN204" i="3"/>
  <c r="J205" i="3"/>
  <c r="AO205" i="3" s="1"/>
  <c r="I206" i="3" l="1"/>
  <c r="H205" i="3"/>
  <c r="J206" i="3"/>
  <c r="AO206" i="3" s="1"/>
  <c r="I207" i="3" l="1"/>
  <c r="AN206" i="3"/>
  <c r="J207" i="3"/>
  <c r="AO207" i="3" s="1"/>
  <c r="H206" i="3"/>
  <c r="H207" i="3" l="1"/>
  <c r="I208" i="3"/>
  <c r="J208" i="3"/>
  <c r="AO208" i="3" s="1"/>
  <c r="AN207" i="3"/>
  <c r="I209" i="3" l="1"/>
  <c r="AN209" i="3" s="1"/>
  <c r="H208" i="3"/>
  <c r="AN208" i="3"/>
  <c r="J209" i="3"/>
  <c r="J210" i="3" s="1"/>
  <c r="H209" i="3" l="1"/>
  <c r="I210" i="3"/>
  <c r="AN210" i="3" s="1"/>
  <c r="I211" i="3"/>
  <c r="AO209" i="3"/>
  <c r="AO210" i="3"/>
  <c r="I212" i="3" l="1"/>
  <c r="J213" i="3" s="1"/>
  <c r="AO213" i="3" s="1"/>
  <c r="J211" i="3"/>
  <c r="AO211" i="3" s="1"/>
  <c r="J212" i="3"/>
  <c r="AO212" i="3" s="1"/>
  <c r="H210" i="3"/>
  <c r="H211" i="3" s="1"/>
  <c r="H212" i="3" s="1"/>
  <c r="H213" i="3" s="1"/>
  <c r="AN212" i="3"/>
  <c r="I213" i="3"/>
  <c r="AN213" i="3" s="1"/>
  <c r="AN211" i="3"/>
  <c r="J214" i="3" l="1"/>
  <c r="AO214" i="3" s="1"/>
  <c r="I214" i="3"/>
  <c r="I215" i="3" s="1"/>
  <c r="AN215" i="3" s="1"/>
  <c r="J215" i="3"/>
  <c r="AO215" i="3" s="1"/>
  <c r="H214" i="3"/>
  <c r="AN214" i="3"/>
  <c r="J216" i="3" l="1"/>
  <c r="I216" i="3"/>
  <c r="H215" i="3"/>
  <c r="AN216" i="3"/>
  <c r="H216" i="3" l="1"/>
  <c r="I217" i="3"/>
  <c r="AN217" i="3" s="1"/>
  <c r="J217" i="3"/>
  <c r="AO216" i="3"/>
  <c r="H217" i="3" l="1"/>
  <c r="AO217" i="3"/>
  <c r="J218" i="3"/>
  <c r="AO218" i="3" s="1"/>
  <c r="I218" i="3"/>
  <c r="H218" i="3" s="1"/>
  <c r="I219" i="3" l="1"/>
  <c r="AN218" i="3"/>
  <c r="J219" i="3"/>
  <c r="AO219" i="3" s="1"/>
  <c r="AN219" i="3"/>
  <c r="H219" i="3"/>
  <c r="I220" i="3" l="1"/>
  <c r="AN220" i="3" s="1"/>
  <c r="J220" i="3"/>
  <c r="AO220" i="3" s="1"/>
  <c r="H220" i="3" l="1"/>
  <c r="J221" i="3"/>
  <c r="I221" i="3"/>
  <c r="J222" i="3" s="1"/>
  <c r="AO222" i="3" s="1"/>
  <c r="AO221" i="3"/>
  <c r="AN221" i="3" l="1"/>
  <c r="I222" i="3"/>
  <c r="AN222" i="3" s="1"/>
  <c r="H221" i="3"/>
  <c r="I223" i="3" l="1"/>
  <c r="H222" i="3"/>
  <c r="H223" i="3" s="1"/>
  <c r="J223" i="3"/>
  <c r="AO223" i="3" s="1"/>
  <c r="AN223" i="3"/>
  <c r="J224" i="3" l="1"/>
  <c r="AO224" i="3" s="1"/>
  <c r="I224" i="3"/>
  <c r="J225" i="3" l="1"/>
  <c r="AO225" i="3" s="1"/>
  <c r="H224" i="3"/>
  <c r="I225" i="3"/>
  <c r="AN224" i="3"/>
  <c r="AN225" i="3" l="1"/>
  <c r="H225" i="3"/>
  <c r="J226" i="3"/>
  <c r="AO226" i="3" s="1"/>
  <c r="I226" i="3"/>
  <c r="H226" i="3" l="1"/>
  <c r="I227" i="3"/>
  <c r="J227" i="3"/>
  <c r="AO227" i="3" s="1"/>
  <c r="AN226" i="3"/>
  <c r="I228" i="3" l="1"/>
  <c r="AN228" i="3" s="1"/>
  <c r="J228" i="3"/>
  <c r="AO228" i="3" s="1"/>
  <c r="H227" i="3"/>
  <c r="AN227" i="3"/>
  <c r="H228" i="3" l="1"/>
  <c r="J229" i="3"/>
  <c r="AO229" i="3" s="1"/>
  <c r="I229" i="3"/>
  <c r="J230" i="3" s="1"/>
  <c r="AO230" i="3" l="1"/>
  <c r="AN229" i="3"/>
  <c r="I230" i="3"/>
  <c r="H229" i="3"/>
  <c r="J231" i="3" l="1"/>
  <c r="AO231" i="3" s="1"/>
  <c r="H230" i="3"/>
  <c r="AN230" i="3"/>
  <c r="I231" i="3"/>
  <c r="H231" i="3" s="1"/>
  <c r="AN231" i="3" l="1"/>
  <c r="I232" i="3"/>
  <c r="J232" i="3"/>
  <c r="AO232" i="3" s="1"/>
  <c r="I233" i="3" l="1"/>
  <c r="AN233" i="3" s="1"/>
  <c r="H232" i="3"/>
  <c r="J233" i="3"/>
  <c r="AO233" i="3" s="1"/>
  <c r="AN232" i="3"/>
  <c r="J234" i="3" l="1"/>
  <c r="AO234" i="3" s="1"/>
  <c r="H233" i="3"/>
  <c r="I234" i="3"/>
  <c r="J235" i="3" s="1"/>
  <c r="AO235" i="3" s="1"/>
  <c r="I235" i="3" l="1"/>
  <c r="H234" i="3"/>
  <c r="AN234" i="3"/>
  <c r="I236" i="3" l="1"/>
  <c r="AN235" i="3"/>
  <c r="J236" i="3"/>
  <c r="AO236" i="3" s="1"/>
  <c r="H235" i="3"/>
  <c r="AN236" i="3" l="1"/>
  <c r="I237" i="3"/>
  <c r="H236" i="3"/>
  <c r="J237" i="3"/>
  <c r="AO237" i="3" s="1"/>
  <c r="J238" i="3" l="1"/>
  <c r="AO238" i="3" s="1"/>
  <c r="H237" i="3"/>
  <c r="AN237" i="3"/>
  <c r="I238" i="3"/>
  <c r="J239" i="3" s="1"/>
  <c r="AO239" i="3" s="1"/>
  <c r="I239" i="3" l="1"/>
  <c r="AN238" i="3"/>
  <c r="H238" i="3"/>
  <c r="AN239" i="3" l="1"/>
  <c r="J240" i="3"/>
  <c r="H239" i="3"/>
  <c r="I240" i="3"/>
  <c r="H240" i="3" l="1"/>
  <c r="AN240" i="3"/>
  <c r="J241" i="3"/>
  <c r="I241" i="3"/>
  <c r="I242" i="3" s="1"/>
  <c r="AO240" i="3"/>
  <c r="AN242" i="3" l="1"/>
  <c r="AN241" i="3"/>
  <c r="AO241" i="3"/>
  <c r="J242" i="3"/>
  <c r="AO242" i="3" s="1"/>
  <c r="H241" i="3"/>
  <c r="H242" i="3" s="1"/>
  <c r="J243" i="3" l="1"/>
  <c r="AO243" i="3" s="1"/>
  <c r="I243" i="3"/>
  <c r="J244" i="3" l="1"/>
  <c r="AO244" i="3" s="1"/>
  <c r="AN243" i="3"/>
  <c r="H243" i="3"/>
  <c r="I244" i="3"/>
  <c r="AN244" i="3" l="1"/>
  <c r="J245" i="3"/>
  <c r="I245" i="3"/>
  <c r="AN245" i="3" s="1"/>
  <c r="H244" i="3"/>
  <c r="AO245" i="3" l="1"/>
  <c r="J246" i="3"/>
  <c r="AO246" i="3" s="1"/>
  <c r="H245" i="3"/>
  <c r="I246" i="3"/>
  <c r="H246" i="3" s="1"/>
  <c r="I247" i="3" l="1"/>
  <c r="AN246" i="3"/>
  <c r="J247" i="3"/>
  <c r="AO247" i="3" s="1"/>
  <c r="I248" i="3" l="1"/>
  <c r="AN248" i="3" s="1"/>
  <c r="H247" i="3"/>
  <c r="J248" i="3"/>
  <c r="AN247" i="3"/>
  <c r="H248" i="3" l="1"/>
  <c r="I249" i="3"/>
  <c r="H249" i="3" s="1"/>
  <c r="AO248" i="3"/>
  <c r="J249" i="3"/>
  <c r="AO249" i="3" s="1"/>
  <c r="AN249" i="3" l="1"/>
  <c r="I250" i="3"/>
  <c r="J251" i="3" s="1"/>
  <c r="J250" i="3"/>
  <c r="AO250" i="3" s="1"/>
  <c r="AO251" i="3" l="1"/>
  <c r="AN250" i="3"/>
  <c r="H250" i="3"/>
  <c r="I251" i="3"/>
  <c r="H251" i="3" s="1"/>
  <c r="J252" i="3" l="1"/>
  <c r="AO252" i="3" s="1"/>
  <c r="AN251" i="3"/>
  <c r="I252" i="3"/>
  <c r="AN252" i="3" l="1"/>
  <c r="H252" i="3"/>
  <c r="I253" i="3"/>
  <c r="AN253" i="3" s="1"/>
  <c r="J253" i="3"/>
  <c r="AO253" i="3" l="1"/>
  <c r="J254" i="3"/>
  <c r="AO254" i="3" s="1"/>
  <c r="I254" i="3"/>
  <c r="H253" i="3"/>
  <c r="H254" i="3" l="1"/>
  <c r="J255" i="3"/>
  <c r="AO255" i="3" s="1"/>
  <c r="AN254" i="3"/>
  <c r="I255" i="3"/>
  <c r="J256" i="3" s="1"/>
  <c r="AO256" i="3" s="1"/>
  <c r="H255" i="3" l="1"/>
  <c r="I256" i="3"/>
  <c r="AN255" i="3"/>
  <c r="H256" i="3" l="1"/>
  <c r="I257" i="3"/>
  <c r="AN256" i="3"/>
  <c r="J257" i="3"/>
  <c r="I258" i="3" l="1"/>
  <c r="H257" i="3"/>
  <c r="J258" i="3"/>
  <c r="AO258" i="3" s="1"/>
  <c r="AO257" i="3"/>
  <c r="AN257" i="3"/>
  <c r="J259" i="3" l="1"/>
  <c r="AO259" i="3" s="1"/>
  <c r="H258" i="3"/>
  <c r="I259" i="3"/>
  <c r="AN258" i="3"/>
  <c r="I260" i="3" l="1"/>
  <c r="AN260" i="3" s="1"/>
  <c r="AN259" i="3"/>
  <c r="H259" i="3"/>
  <c r="H260" i="3" s="1"/>
  <c r="J260" i="3"/>
  <c r="AO260" i="3" s="1"/>
  <c r="J261" i="3" l="1"/>
  <c r="AO261" i="3" s="1"/>
  <c r="I261" i="3"/>
  <c r="H261" i="3" l="1"/>
  <c r="I262" i="3"/>
  <c r="AN262" i="3" s="1"/>
  <c r="AN261" i="3"/>
  <c r="J262" i="3"/>
  <c r="I263" i="3" l="1"/>
  <c r="AO262" i="3"/>
  <c r="H262" i="3"/>
  <c r="J263" i="3"/>
  <c r="AO263" i="3" s="1"/>
  <c r="J264" i="3" l="1"/>
  <c r="AO264" i="3" s="1"/>
  <c r="H263" i="3"/>
  <c r="AN263" i="3"/>
  <c r="I264" i="3"/>
  <c r="AN264" i="3" s="1"/>
  <c r="I265" i="3" l="1"/>
  <c r="H264" i="3"/>
  <c r="J265" i="3"/>
  <c r="AO265" i="3" l="1"/>
  <c r="H265" i="3"/>
  <c r="AN265" i="3"/>
  <c r="J266" i="3"/>
  <c r="AO266" i="3" s="1"/>
  <c r="I266" i="3"/>
  <c r="H266" i="3" l="1"/>
  <c r="AN266" i="3"/>
  <c r="I267" i="3"/>
  <c r="J267" i="3"/>
  <c r="AO267" i="3" s="1"/>
  <c r="J268" i="3" l="1"/>
  <c r="AO268" i="3" s="1"/>
  <c r="AN267" i="3"/>
  <c r="I268" i="3"/>
  <c r="AN268" i="3" s="1"/>
  <c r="H267" i="3"/>
  <c r="J269" i="3" l="1"/>
  <c r="AO269" i="3" s="1"/>
  <c r="H268" i="3"/>
  <c r="I269" i="3"/>
  <c r="AN269" i="3" s="1"/>
  <c r="I270" i="3"/>
  <c r="J270" i="3"/>
  <c r="AO270" i="3" s="1"/>
  <c r="H269" i="3" l="1"/>
  <c r="I271" i="3"/>
  <c r="AN270" i="3"/>
  <c r="H270" i="3"/>
  <c r="J271" i="3"/>
  <c r="H271" i="3" l="1"/>
  <c r="I272" i="3"/>
  <c r="AN272" i="3" s="1"/>
  <c r="AN271" i="3"/>
  <c r="AO271" i="3"/>
  <c r="J272" i="3"/>
  <c r="I273" i="3" l="1"/>
  <c r="AN273" i="3" s="1"/>
  <c r="AO272" i="3"/>
  <c r="J273" i="3"/>
  <c r="H272" i="3"/>
  <c r="H273" i="3" s="1"/>
  <c r="I274" i="3" l="1"/>
  <c r="H274" i="3" s="1"/>
  <c r="J274" i="3"/>
  <c r="J275" i="3" s="1"/>
  <c r="I275" i="3"/>
  <c r="AO273" i="3"/>
  <c r="AN274" i="3" l="1"/>
  <c r="I276" i="3"/>
  <c r="AO275" i="3"/>
  <c r="J276" i="3"/>
  <c r="AO276" i="3" s="1"/>
  <c r="AN275" i="3"/>
  <c r="H275" i="3"/>
  <c r="AO274" i="3"/>
  <c r="H276" i="3" l="1"/>
  <c r="AN276" i="3"/>
  <c r="I277" i="3"/>
  <c r="J277" i="3"/>
  <c r="AN277" i="3" l="1"/>
  <c r="H277" i="3"/>
  <c r="AO277" i="3"/>
  <c r="I278" i="3"/>
  <c r="J278" i="3"/>
  <c r="H278" i="3" l="1"/>
  <c r="AN278" i="3"/>
  <c r="J279" i="3"/>
  <c r="AO278" i="3"/>
  <c r="I279" i="3"/>
  <c r="H279" i="3" l="1"/>
  <c r="J280" i="3"/>
  <c r="AN279" i="3"/>
  <c r="I280" i="3"/>
  <c r="J281" i="3" s="1"/>
  <c r="AO281" i="3" s="1"/>
  <c r="AO279" i="3"/>
  <c r="I281" i="3" l="1"/>
  <c r="I282" i="3" s="1"/>
  <c r="AN280" i="3"/>
  <c r="H280" i="3"/>
  <c r="AO280" i="3"/>
  <c r="AN281" i="3" l="1"/>
  <c r="H281" i="3"/>
  <c r="H282" i="3" s="1"/>
  <c r="AN282" i="3"/>
  <c r="J282" i="3"/>
  <c r="I283" i="3" s="1"/>
  <c r="AN284" i="3" l="1"/>
  <c r="H283" i="3"/>
  <c r="AO282" i="3"/>
  <c r="J283" i="3"/>
  <c r="AO284" i="3" s="1"/>
  <c r="AN283" i="3"/>
  <c r="AO283" i="3" l="1"/>
</calcChain>
</file>

<file path=xl/sharedStrings.xml><?xml version="1.0" encoding="utf-8"?>
<sst xmlns="http://schemas.openxmlformats.org/spreadsheetml/2006/main" count="52" uniqueCount="45">
  <si>
    <t>Mean</t>
  </si>
  <si>
    <t>Upper</t>
  </si>
  <si>
    <t>Lower</t>
  </si>
  <si>
    <t>STDEV</t>
  </si>
  <si>
    <t>Period</t>
  </si>
  <si>
    <t>Index</t>
  </si>
  <si>
    <t>Outlier</t>
  </si>
  <si>
    <t>Shift</t>
  </si>
  <si>
    <t>Shift Mean</t>
  </si>
  <si>
    <t>Value</t>
  </si>
  <si>
    <t>Trend</t>
  </si>
  <si>
    <t>Options</t>
  </si>
  <si>
    <t>Royal Free London Foundation Trust Control Chart Template</t>
  </si>
  <si>
    <r>
      <t xml:space="preserve">↓ ENTER DATA HERE </t>
    </r>
    <r>
      <rPr>
        <b/>
        <sz val="11"/>
        <color theme="1"/>
        <rFont val="Calibri"/>
        <family val="2"/>
      </rPr>
      <t>↓</t>
    </r>
  </si>
  <si>
    <t>Trajectory</t>
  </si>
  <si>
    <t>Data point</t>
  </si>
  <si>
    <t>Goal</t>
  </si>
  <si>
    <t>Data input</t>
  </si>
  <si>
    <t>Notes:</t>
  </si>
  <si>
    <t>datapoints long</t>
  </si>
  <si>
    <r>
      <t xml:space="preserve">↓ OPTIONAL DATA  </t>
    </r>
    <r>
      <rPr>
        <b/>
        <sz val="11"/>
        <color theme="1"/>
        <rFont val="Calibri"/>
        <family val="2"/>
      </rPr>
      <t>↓</t>
    </r>
  </si>
  <si>
    <t>Date/Time</t>
  </si>
  <si>
    <t>Baseline is</t>
  </si>
  <si>
    <t>Change Limits</t>
  </si>
  <si>
    <t>Chart type</t>
  </si>
  <si>
    <t>Default (I-chart)</t>
  </si>
  <si>
    <t>Mean Average</t>
  </si>
  <si>
    <t>Upper limit</t>
  </si>
  <si>
    <t>Lower limit</t>
  </si>
  <si>
    <t>Automatically</t>
  </si>
  <si>
    <t>Output</t>
  </si>
  <si>
    <t>Values</t>
  </si>
  <si>
    <t>Moving range</t>
  </si>
  <si>
    <t>For Chart</t>
  </si>
  <si>
    <t>Standard 'I-Chart'</t>
  </si>
  <si>
    <t>Workings hidden in colsF:BA</t>
  </si>
  <si>
    <t>x</t>
  </si>
  <si>
    <t xml:space="preserve">Limits based on </t>
  </si>
  <si>
    <t>data points</t>
  </si>
  <si>
    <t>Change</t>
  </si>
  <si>
    <t>Manual Change</t>
  </si>
  <si>
    <t>More settings hidden in rows 11:15</t>
  </si>
  <si>
    <t>Title</t>
  </si>
  <si>
    <t>This is an SPC chart showing xy or z
Perhaps there is a date parameter here!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</si>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</sst>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4"/>
      <color theme="1" tint="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indexed="8"/>
      <name val="Verdana"/>
      <family val="2"/>
    </font>
    <font>
      <sz val="11"/>
      <color rgb="FF3F3F76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rgb="FF7F7F7F"/>
      <name val="Calibri"/>
      <family val="2"/>
      <scheme val="minor"/>
    </font>
    <font>
      <i/>
      <sz val="8"/>
      <color rgb="FF7F7F7F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9" fontId="5" fillId="0" borderId="0" applyFont="0" applyFill="0" applyBorder="0" applyAlignment="0" applyProtection="0"/>
    <xf numFmtId="0" fontId="5" fillId="0" borderId="0" applyNumberFormat="0" applyFill="0" applyBorder="0" applyProtection="0">
      <alignment vertical="top" wrapText="1"/>
    </xf>
    <xf numFmtId="0" fontId="6" fillId="4" borderId="13" applyNumberFormat="0" applyAlignment="0" applyProtection="0"/>
    <xf numFmtId="0" fontId="11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4" fillId="0" borderId="0" xfId="0" applyFont="1"/>
    <xf numFmtId="0" fontId="1" fillId="2" borderId="4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0" fontId="2" fillId="0" borderId="0" xfId="0" applyFont="1"/>
    <xf numFmtId="0" fontId="3" fillId="3" borderId="0" xfId="0" applyFont="1" applyFill="1" applyBorder="1" applyAlignment="1">
      <alignment horizontal="left" vertical="center"/>
    </xf>
    <xf numFmtId="0" fontId="0" fillId="3" borderId="0" xfId="0" applyFill="1" applyBorder="1"/>
    <xf numFmtId="165" fontId="0" fillId="0" borderId="2" xfId="0" applyNumberFormat="1" applyBorder="1" applyAlignment="1">
      <alignment horizontal="center"/>
    </xf>
    <xf numFmtId="2" fontId="0" fillId="0" borderId="6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2" fontId="0" fillId="0" borderId="7" xfId="0" applyNumberFormat="1" applyFont="1" applyBorder="1" applyAlignment="1">
      <alignment horizontal="center"/>
    </xf>
    <xf numFmtId="2" fontId="0" fillId="0" borderId="11" xfId="0" applyNumberFormat="1" applyFont="1" applyBorder="1" applyAlignment="1">
      <alignment horizontal="center"/>
    </xf>
    <xf numFmtId="2" fontId="0" fillId="0" borderId="14" xfId="0" applyNumberFormat="1" applyFont="1" applyBorder="1" applyAlignment="1">
      <alignment horizontal="center"/>
    </xf>
    <xf numFmtId="2" fontId="0" fillId="0" borderId="12" xfId="0" applyNumberFormat="1" applyFont="1" applyBorder="1" applyAlignment="1">
      <alignment horizontal="center"/>
    </xf>
    <xf numFmtId="0" fontId="7" fillId="5" borderId="0" xfId="0" applyFont="1" applyFill="1"/>
    <xf numFmtId="0" fontId="8" fillId="5" borderId="0" xfId="0" applyFont="1" applyFill="1"/>
    <xf numFmtId="0" fontId="0" fillId="6" borderId="0" xfId="0" applyFill="1"/>
    <xf numFmtId="0" fontId="6" fillId="4" borderId="13" xfId="3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9" fillId="6" borderId="0" xfId="0" applyFont="1" applyFill="1"/>
    <xf numFmtId="0" fontId="0" fillId="0" borderId="0" xfId="0" applyAlignment="1">
      <alignment vertical="center"/>
    </xf>
    <xf numFmtId="0" fontId="0" fillId="0" borderId="0" xfId="0" applyAlignment="1"/>
    <xf numFmtId="0" fontId="11" fillId="0" borderId="0" xfId="4"/>
    <xf numFmtId="0" fontId="0" fillId="0" borderId="1" xfId="0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/>
    <xf numFmtId="9" fontId="6" fillId="4" borderId="13" xfId="3" applyNumberFormat="1" applyAlignment="1"/>
    <xf numFmtId="9" fontId="6" fillId="4" borderId="13" xfId="3" applyNumberFormat="1" applyAlignment="1">
      <alignment horizontal="right"/>
    </xf>
    <xf numFmtId="14" fontId="6" fillId="4" borderId="13" xfId="3" applyNumberFormat="1" applyAlignment="1">
      <alignment horizontal="left"/>
    </xf>
    <xf numFmtId="1" fontId="0" fillId="0" borderId="1" xfId="0" applyNumberFormat="1" applyBorder="1" applyAlignment="1">
      <alignment horizontal="right"/>
    </xf>
    <xf numFmtId="0" fontId="1" fillId="0" borderId="0" xfId="0" applyFont="1"/>
    <xf numFmtId="0" fontId="6" fillId="4" borderId="13" xfId="3"/>
    <xf numFmtId="2" fontId="0" fillId="0" borderId="1" xfId="0" applyNumberFormat="1" applyBorder="1" applyAlignment="1">
      <alignment horizontal="right"/>
    </xf>
    <xf numFmtId="1" fontId="12" fillId="0" borderId="0" xfId="4" applyNumberFormat="1" applyFont="1" applyAlignment="1">
      <alignment horizontal="left"/>
    </xf>
    <xf numFmtId="166" fontId="0" fillId="0" borderId="6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4" fontId="0" fillId="0" borderId="0" xfId="0" applyNumberFormat="1"/>
    <xf numFmtId="166" fontId="0" fillId="0" borderId="0" xfId="0" applyNumberFormat="1"/>
    <xf numFmtId="0" fontId="1" fillId="0" borderId="0" xfId="0" applyFont="1" applyAlignment="1">
      <alignment horizontal="right"/>
    </xf>
    <xf numFmtId="0" fontId="9" fillId="0" borderId="0" xfId="0" applyFont="1"/>
    <xf numFmtId="166" fontId="0" fillId="0" borderId="0" xfId="0" applyNumberFormat="1" applyBorder="1" applyAlignment="1"/>
    <xf numFmtId="166" fontId="0" fillId="0" borderId="0" xfId="0" applyNumberFormat="1" applyBorder="1" applyAlignment="1">
      <alignment textRotation="90"/>
    </xf>
    <xf numFmtId="2" fontId="6" fillId="4" borderId="13" xfId="3" applyNumberFormat="1" applyAlignment="1">
      <alignment horizontal="right"/>
    </xf>
    <xf numFmtId="0" fontId="6" fillId="4" borderId="13" xfId="3" applyFont="1" applyAlignment="1">
      <alignment horizontal="center" vertical="center"/>
    </xf>
    <xf numFmtId="0" fontId="6" fillId="4" borderId="13" xfId="3" applyNumberFormat="1" applyAlignment="1"/>
    <xf numFmtId="0" fontId="14" fillId="0" borderId="0" xfId="0" applyFont="1"/>
    <xf numFmtId="0" fontId="1" fillId="0" borderId="0" xfId="0" applyFont="1" applyAlignment="1">
      <alignment horizontal="center"/>
    </xf>
    <xf numFmtId="2" fontId="6" fillId="4" borderId="13" xfId="3" applyNumberFormat="1" applyAlignment="1"/>
    <xf numFmtId="14" fontId="0" fillId="0" borderId="0" xfId="0" applyNumberFormat="1"/>
    <xf numFmtId="0" fontId="6" fillId="4" borderId="13" xfId="3" applyNumberFormat="1" applyAlignment="1">
      <alignment horizontal="left"/>
    </xf>
    <xf numFmtId="166" fontId="2" fillId="0" borderId="6" xfId="0" applyNumberFormat="1" applyFont="1" applyBorder="1" applyAlignment="1">
      <alignment horizontal="center" textRotation="90"/>
    </xf>
    <xf numFmtId="0" fontId="1" fillId="0" borderId="0" xfId="0" applyFont="1" applyAlignment="1">
      <alignment horizontal="center"/>
    </xf>
  </cellXfs>
  <cellStyles count="5">
    <cellStyle name="Explanatory Text" xfId="4" builtinId="53"/>
    <cellStyle name="Input" xfId="3" builtinId="20"/>
    <cellStyle name="Normal" xfId="0" builtinId="0"/>
    <cellStyle name="Normal 104" xfId="2"/>
    <cellStyle name="Percent 62" xfId="1"/>
  </cellStyles>
  <dxfs count="0"/>
  <tableStyles count="0" defaultTableStyle="TableStyleMedium2" defaultPivotStyle="PivotStyleLight16"/>
  <colors>
    <mruColors>
      <color rgb="FF005EB8"/>
      <color rgb="FFE87722"/>
      <color rgb="FFFFC72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Master!$C$4</c:f>
          <c:strCache>
            <c:ptCount val="1"/>
            <c:pt idx="0">
              <c:v>This is an SPC chart showing xy or z
Perhaps there is a date parameter here!</c:v>
            </c:pt>
          </c:strCache>
        </c:strRef>
      </c:tx>
      <c:layout>
        <c:manualLayout>
          <c:xMode val="edge"/>
          <c:yMode val="edge"/>
          <c:x val="7.4923652679311599E-3"/>
          <c:y val="2.5544750489775333E-2"/>
        </c:manualLayout>
      </c:layout>
      <c:overlay val="0"/>
      <c:txPr>
        <a:bodyPr/>
        <a:lstStyle/>
        <a:p>
          <a:pPr algn="l"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647942629218589E-2"/>
          <c:y val="0.18599091363634343"/>
          <c:w val="0.87527175864232087"/>
          <c:h val="0.68032693936769439"/>
        </c:manualLayout>
      </c:layout>
      <c:lineChart>
        <c:grouping val="standard"/>
        <c:varyColors val="0"/>
        <c:ser>
          <c:idx val="9"/>
          <c:order val="9"/>
          <c:tx>
            <c:strRef>
              <c:f>Master!$AJ$25</c:f>
              <c:strCache>
                <c:ptCount val="1"/>
                <c:pt idx="0">
                  <c:v>Mean</c:v>
                </c:pt>
              </c:strCache>
            </c:strRef>
          </c:tx>
          <c:spPr>
            <a:ln w="19050">
              <a:solidFill>
                <a:schemeClr val="tx1"/>
              </a:solidFill>
              <a:prstDash val="dash"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Master!Mean</c:f>
              <c:numCache>
                <c:formatCode>0.0</c:formatCode>
                <c:ptCount val="51"/>
                <c:pt idx="0">
                  <c:v>50.61904761904762</c:v>
                </c:pt>
                <c:pt idx="1">
                  <c:v>50.61904761904762</c:v>
                </c:pt>
                <c:pt idx="2">
                  <c:v>50.61904761904762</c:v>
                </c:pt>
                <c:pt idx="3">
                  <c:v>50.61904761904762</c:v>
                </c:pt>
                <c:pt idx="4">
                  <c:v>50.61904761904762</c:v>
                </c:pt>
                <c:pt idx="5">
                  <c:v>50.61904761904762</c:v>
                </c:pt>
                <c:pt idx="6">
                  <c:v>50.61904761904762</c:v>
                </c:pt>
                <c:pt idx="7">
                  <c:v>50.61904761904762</c:v>
                </c:pt>
                <c:pt idx="8">
                  <c:v>50.61904761904762</c:v>
                </c:pt>
                <c:pt idx="9">
                  <c:v>50.61904761904762</c:v>
                </c:pt>
                <c:pt idx="10">
                  <c:v>50.61904761904762</c:v>
                </c:pt>
                <c:pt idx="11">
                  <c:v>50.61904761904762</c:v>
                </c:pt>
                <c:pt idx="12">
                  <c:v>50.61904761904762</c:v>
                </c:pt>
                <c:pt idx="13">
                  <c:v>50.61904761904762</c:v>
                </c:pt>
                <c:pt idx="14">
                  <c:v>50.61904761904762</c:v>
                </c:pt>
                <c:pt idx="15">
                  <c:v>50.61904761904762</c:v>
                </c:pt>
                <c:pt idx="16">
                  <c:v>50.61904761904762</c:v>
                </c:pt>
                <c:pt idx="17">
                  <c:v>50.61904761904762</c:v>
                </c:pt>
                <c:pt idx="18">
                  <c:v>50.61904761904762</c:v>
                </c:pt>
                <c:pt idx="19">
                  <c:v>50.61904761904762</c:v>
                </c:pt>
                <c:pt idx="20">
                  <c:v>50.61904761904762</c:v>
                </c:pt>
                <c:pt idx="21">
                  <c:v>50.61904761904762</c:v>
                </c:pt>
                <c:pt idx="22">
                  <c:v>50.61904761904762</c:v>
                </c:pt>
                <c:pt idx="23">
                  <c:v>50.61904761904762</c:v>
                </c:pt>
                <c:pt idx="24">
                  <c:v>50.61904761904762</c:v>
                </c:pt>
                <c:pt idx="25">
                  <c:v>50.61904761904762</c:v>
                </c:pt>
                <c:pt idx="26">
                  <c:v>50.61904761904762</c:v>
                </c:pt>
                <c:pt idx="27">
                  <c:v>50.61904761904762</c:v>
                </c:pt>
                <c:pt idx="28">
                  <c:v>50.61904761904762</c:v>
                </c:pt>
                <c:pt idx="29">
                  <c:v>50.61904761904762</c:v>
                </c:pt>
                <c:pt idx="30">
                  <c:v>50.61904761904762</c:v>
                </c:pt>
                <c:pt idx="31">
                  <c:v>50.61904761904762</c:v>
                </c:pt>
                <c:pt idx="32">
                  <c:v>50.61904761904762</c:v>
                </c:pt>
                <c:pt idx="33">
                  <c:v>50.61904761904762</c:v>
                </c:pt>
                <c:pt idx="34">
                  <c:v>50.61904761904762</c:v>
                </c:pt>
                <c:pt idx="35">
                  <c:v>50.61904761904762</c:v>
                </c:pt>
                <c:pt idx="36">
                  <c:v>50.61904761904762</c:v>
                </c:pt>
                <c:pt idx="37">
                  <c:v>50.61904761904762</c:v>
                </c:pt>
                <c:pt idx="38">
                  <c:v>50.61904761904762</c:v>
                </c:pt>
                <c:pt idx="39">
                  <c:v>50.61904761904762</c:v>
                </c:pt>
                <c:pt idx="40">
                  <c:v>50.61904761904762</c:v>
                </c:pt>
                <c:pt idx="41">
                  <c:v>50.61904761904762</c:v>
                </c:pt>
                <c:pt idx="42">
                  <c:v>50.61904761904762</c:v>
                </c:pt>
                <c:pt idx="43">
                  <c:v>50.61904761904762</c:v>
                </c:pt>
                <c:pt idx="44">
                  <c:v>50.61904761904762</c:v>
                </c:pt>
                <c:pt idx="45">
                  <c:v>50.61904761904762</c:v>
                </c:pt>
                <c:pt idx="46">
                  <c:v>50.61904761904762</c:v>
                </c:pt>
                <c:pt idx="47">
                  <c:v>50.61904761904762</c:v>
                </c:pt>
                <c:pt idx="48">
                  <c:v>50.61904761904762</c:v>
                </c:pt>
                <c:pt idx="49">
                  <c:v>50.61904761904762</c:v>
                </c:pt>
                <c:pt idx="50">
                  <c:v>#N/A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Master!$C$25</c:f>
              <c:strCache>
                <c:ptCount val="1"/>
                <c:pt idx="0">
                  <c:v>Value</c:v>
                </c:pt>
              </c:strCache>
            </c:strRef>
          </c:tx>
          <c:spPr>
            <a:ln>
              <a:solidFill>
                <a:srgbClr val="005EB8"/>
              </a:solidFill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Master!Value</c:f>
              <c:numCache>
                <c:formatCode>General</c:formatCode>
                <c:ptCount val="51"/>
                <c:pt idx="0">
                  <c:v>55</c:v>
                </c:pt>
                <c:pt idx="1">
                  <c:v>58</c:v>
                </c:pt>
                <c:pt idx="2">
                  <c:v>51</c:v>
                </c:pt>
                <c:pt idx="3">
                  <c:v>52</c:v>
                </c:pt>
                <c:pt idx="4">
                  <c:v>57</c:v>
                </c:pt>
                <c:pt idx="5">
                  <c:v>56</c:v>
                </c:pt>
                <c:pt idx="6">
                  <c:v>45</c:v>
                </c:pt>
                <c:pt idx="7">
                  <c:v>45</c:v>
                </c:pt>
                <c:pt idx="8">
                  <c:v>46</c:v>
                </c:pt>
                <c:pt idx="9">
                  <c:v>44</c:v>
                </c:pt>
                <c:pt idx="10">
                  <c:v>52</c:v>
                </c:pt>
                <c:pt idx="11">
                  <c:v>54</c:v>
                </c:pt>
                <c:pt idx="12">
                  <c:v>54</c:v>
                </c:pt>
                <c:pt idx="13">
                  <c:v>49</c:v>
                </c:pt>
                <c:pt idx="14">
                  <c:v>50</c:v>
                </c:pt>
                <c:pt idx="15">
                  <c:v>44</c:v>
                </c:pt>
                <c:pt idx="16">
                  <c:v>46</c:v>
                </c:pt>
                <c:pt idx="17">
                  <c:v>58</c:v>
                </c:pt>
                <c:pt idx="18">
                  <c:v>53</c:v>
                </c:pt>
                <c:pt idx="19">
                  <c:v>43</c:v>
                </c:pt>
                <c:pt idx="20">
                  <c:v>51</c:v>
                </c:pt>
                <c:pt idx="21">
                  <c:v>60</c:v>
                </c:pt>
                <c:pt idx="22">
                  <c:v>50</c:v>
                </c:pt>
                <c:pt idx="23">
                  <c:v>48</c:v>
                </c:pt>
                <c:pt idx="24">
                  <c:v>59</c:v>
                </c:pt>
                <c:pt idx="25">
                  <c:v>41</c:v>
                </c:pt>
                <c:pt idx="26">
                  <c:v>59</c:v>
                </c:pt>
                <c:pt idx="27">
                  <c:v>59</c:v>
                </c:pt>
                <c:pt idx="28">
                  <c:v>43</c:v>
                </c:pt>
                <c:pt idx="29">
                  <c:v>56</c:v>
                </c:pt>
                <c:pt idx="30">
                  <c:v>53</c:v>
                </c:pt>
                <c:pt idx="31">
                  <c:v>42</c:v>
                </c:pt>
                <c:pt idx="32">
                  <c:v>44</c:v>
                </c:pt>
                <c:pt idx="33">
                  <c:v>44</c:v>
                </c:pt>
                <c:pt idx="34">
                  <c:v>53</c:v>
                </c:pt>
                <c:pt idx="35">
                  <c:v>43</c:v>
                </c:pt>
                <c:pt idx="36">
                  <c:v>44</c:v>
                </c:pt>
                <c:pt idx="37">
                  <c:v>60</c:v>
                </c:pt>
                <c:pt idx="38">
                  <c:v>45</c:v>
                </c:pt>
                <c:pt idx="39">
                  <c:v>60</c:v>
                </c:pt>
                <c:pt idx="40">
                  <c:v>48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1"/>
          <c:order val="11"/>
          <c:tx>
            <c:v>Control Limit</c:v>
          </c:tx>
          <c:spPr>
            <a:ln>
              <a:solidFill>
                <a:schemeClr val="bg1">
                  <a:lumMod val="65000"/>
                </a:schemeClr>
              </a:solidFill>
              <a:prstDash val="lgDash"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Master!Upper</c:f>
              <c:numCache>
                <c:formatCode>0.0</c:formatCode>
                <c:ptCount val="51"/>
                <c:pt idx="0">
                  <c:v>62.589047619047619</c:v>
                </c:pt>
                <c:pt idx="1">
                  <c:v>62.589047619047619</c:v>
                </c:pt>
                <c:pt idx="2">
                  <c:v>62.589047619047619</c:v>
                </c:pt>
                <c:pt idx="3">
                  <c:v>62.589047619047619</c:v>
                </c:pt>
                <c:pt idx="4">
                  <c:v>62.589047619047619</c:v>
                </c:pt>
                <c:pt idx="5">
                  <c:v>62.589047619047619</c:v>
                </c:pt>
                <c:pt idx="6">
                  <c:v>62.589047619047619</c:v>
                </c:pt>
                <c:pt idx="7">
                  <c:v>62.589047619047619</c:v>
                </c:pt>
                <c:pt idx="8">
                  <c:v>62.589047619047619</c:v>
                </c:pt>
                <c:pt idx="9">
                  <c:v>62.589047619047619</c:v>
                </c:pt>
                <c:pt idx="10">
                  <c:v>62.589047619047619</c:v>
                </c:pt>
                <c:pt idx="11">
                  <c:v>62.589047619047619</c:v>
                </c:pt>
                <c:pt idx="12">
                  <c:v>62.589047619047619</c:v>
                </c:pt>
                <c:pt idx="13">
                  <c:v>62.589047619047619</c:v>
                </c:pt>
                <c:pt idx="14">
                  <c:v>62.589047619047619</c:v>
                </c:pt>
                <c:pt idx="15">
                  <c:v>62.589047619047619</c:v>
                </c:pt>
                <c:pt idx="16">
                  <c:v>62.589047619047619</c:v>
                </c:pt>
                <c:pt idx="17">
                  <c:v>62.589047619047619</c:v>
                </c:pt>
                <c:pt idx="18">
                  <c:v>62.589047619047619</c:v>
                </c:pt>
                <c:pt idx="19">
                  <c:v>62.589047619047619</c:v>
                </c:pt>
                <c:pt idx="20">
                  <c:v>62.589047619047619</c:v>
                </c:pt>
                <c:pt idx="21">
                  <c:v>62.589047619047619</c:v>
                </c:pt>
                <c:pt idx="22">
                  <c:v>62.589047619047619</c:v>
                </c:pt>
                <c:pt idx="23">
                  <c:v>62.589047619047619</c:v>
                </c:pt>
                <c:pt idx="24">
                  <c:v>62.589047619047619</c:v>
                </c:pt>
                <c:pt idx="25">
                  <c:v>62.589047619047619</c:v>
                </c:pt>
                <c:pt idx="26">
                  <c:v>62.589047619047619</c:v>
                </c:pt>
                <c:pt idx="27">
                  <c:v>62.589047619047619</c:v>
                </c:pt>
                <c:pt idx="28">
                  <c:v>62.589047619047619</c:v>
                </c:pt>
                <c:pt idx="29">
                  <c:v>62.589047619047619</c:v>
                </c:pt>
                <c:pt idx="30">
                  <c:v>62.589047619047619</c:v>
                </c:pt>
                <c:pt idx="31">
                  <c:v>62.589047619047619</c:v>
                </c:pt>
                <c:pt idx="32">
                  <c:v>62.589047619047619</c:v>
                </c:pt>
                <c:pt idx="33">
                  <c:v>62.589047619047619</c:v>
                </c:pt>
                <c:pt idx="34">
                  <c:v>62.589047619047619</c:v>
                </c:pt>
                <c:pt idx="35">
                  <c:v>62.589047619047619</c:v>
                </c:pt>
                <c:pt idx="36">
                  <c:v>62.589047619047619</c:v>
                </c:pt>
                <c:pt idx="37">
                  <c:v>62.589047619047619</c:v>
                </c:pt>
                <c:pt idx="38">
                  <c:v>62.589047619047619</c:v>
                </c:pt>
                <c:pt idx="39">
                  <c:v>62.589047619047619</c:v>
                </c:pt>
                <c:pt idx="40">
                  <c:v>62.589047619047619</c:v>
                </c:pt>
                <c:pt idx="41">
                  <c:v>62.589047619047619</c:v>
                </c:pt>
                <c:pt idx="42">
                  <c:v>62.589047619047619</c:v>
                </c:pt>
                <c:pt idx="43">
                  <c:v>62.589047619047619</c:v>
                </c:pt>
                <c:pt idx="44">
                  <c:v>62.589047619047619</c:v>
                </c:pt>
                <c:pt idx="45">
                  <c:v>62.589047619047619</c:v>
                </c:pt>
                <c:pt idx="46">
                  <c:v>62.589047619047619</c:v>
                </c:pt>
                <c:pt idx="47">
                  <c:v>62.589047619047619</c:v>
                </c:pt>
                <c:pt idx="48">
                  <c:v>62.589047619047619</c:v>
                </c:pt>
                <c:pt idx="49">
                  <c:v>62.589047619047619</c:v>
                </c:pt>
                <c:pt idx="50">
                  <c:v>#N/A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Master!$AP$25</c:f>
              <c:strCache>
                <c:ptCount val="1"/>
                <c:pt idx="0">
                  <c:v>Outlier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Master!Outlier</c:f>
              <c:numCache>
                <c:formatCode>0.0</c:formatCode>
                <c:ptCount val="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Master!$AO$25</c:f>
              <c:strCache>
                <c:ptCount val="1"/>
                <c:pt idx="0">
                  <c:v>Trend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Master!Trend</c:f>
              <c:numCache>
                <c:formatCode>0.0</c:formatCode>
                <c:ptCount val="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Master!$AN$25</c:f>
              <c:strCache>
                <c:ptCount val="1"/>
                <c:pt idx="0">
                  <c:v>Shift</c:v>
                </c:pt>
              </c:strCache>
            </c:strRef>
          </c:tx>
          <c:spPr>
            <a:ln w="25400" cap="sq">
              <a:noFill/>
              <a:prstDash val="solid"/>
            </a:ln>
            <a:effectLst/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Master!Shift</c:f>
              <c:numCache>
                <c:formatCode>0.0</c:formatCode>
                <c:ptCount val="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Master!$AM$25</c:f>
              <c:strCache>
                <c:ptCount val="1"/>
                <c:pt idx="0">
                  <c:v>Lower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  <a:prstDash val="lgDash"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Master!Lower</c:f>
              <c:numCache>
                <c:formatCode>0.0</c:formatCode>
                <c:ptCount val="51"/>
                <c:pt idx="0">
                  <c:v>38.649047619047622</c:v>
                </c:pt>
                <c:pt idx="1">
                  <c:v>38.649047619047622</c:v>
                </c:pt>
                <c:pt idx="2">
                  <c:v>38.649047619047622</c:v>
                </c:pt>
                <c:pt idx="3">
                  <c:v>38.649047619047622</c:v>
                </c:pt>
                <c:pt idx="4">
                  <c:v>38.649047619047622</c:v>
                </c:pt>
                <c:pt idx="5">
                  <c:v>38.649047619047622</c:v>
                </c:pt>
                <c:pt idx="6">
                  <c:v>38.649047619047622</c:v>
                </c:pt>
                <c:pt idx="7">
                  <c:v>38.649047619047622</c:v>
                </c:pt>
                <c:pt idx="8">
                  <c:v>38.649047619047622</c:v>
                </c:pt>
                <c:pt idx="9">
                  <c:v>38.649047619047622</c:v>
                </c:pt>
                <c:pt idx="10">
                  <c:v>38.649047619047622</c:v>
                </c:pt>
                <c:pt idx="11">
                  <c:v>38.649047619047622</c:v>
                </c:pt>
                <c:pt idx="12">
                  <c:v>38.649047619047622</c:v>
                </c:pt>
                <c:pt idx="13">
                  <c:v>38.649047619047622</c:v>
                </c:pt>
                <c:pt idx="14">
                  <c:v>38.649047619047622</c:v>
                </c:pt>
                <c:pt idx="15">
                  <c:v>38.649047619047622</c:v>
                </c:pt>
                <c:pt idx="16">
                  <c:v>38.649047619047622</c:v>
                </c:pt>
                <c:pt idx="17">
                  <c:v>38.649047619047622</c:v>
                </c:pt>
                <c:pt idx="18">
                  <c:v>38.649047619047622</c:v>
                </c:pt>
                <c:pt idx="19">
                  <c:v>38.649047619047622</c:v>
                </c:pt>
                <c:pt idx="20">
                  <c:v>38.649047619047622</c:v>
                </c:pt>
                <c:pt idx="21">
                  <c:v>38.649047619047622</c:v>
                </c:pt>
                <c:pt idx="22">
                  <c:v>38.649047619047622</c:v>
                </c:pt>
                <c:pt idx="23">
                  <c:v>38.649047619047622</c:v>
                </c:pt>
                <c:pt idx="24">
                  <c:v>38.649047619047622</c:v>
                </c:pt>
                <c:pt idx="25">
                  <c:v>38.649047619047622</c:v>
                </c:pt>
                <c:pt idx="26">
                  <c:v>38.649047619047622</c:v>
                </c:pt>
                <c:pt idx="27">
                  <c:v>38.649047619047622</c:v>
                </c:pt>
                <c:pt idx="28">
                  <c:v>38.649047619047622</c:v>
                </c:pt>
                <c:pt idx="29">
                  <c:v>38.649047619047622</c:v>
                </c:pt>
                <c:pt idx="30">
                  <c:v>38.649047619047622</c:v>
                </c:pt>
                <c:pt idx="31">
                  <c:v>38.649047619047622</c:v>
                </c:pt>
                <c:pt idx="32">
                  <c:v>38.649047619047622</c:v>
                </c:pt>
                <c:pt idx="33">
                  <c:v>38.649047619047622</c:v>
                </c:pt>
                <c:pt idx="34">
                  <c:v>38.649047619047622</c:v>
                </c:pt>
                <c:pt idx="35">
                  <c:v>38.649047619047622</c:v>
                </c:pt>
                <c:pt idx="36">
                  <c:v>38.649047619047622</c:v>
                </c:pt>
                <c:pt idx="37">
                  <c:v>38.649047619047622</c:v>
                </c:pt>
                <c:pt idx="38">
                  <c:v>38.649047619047622</c:v>
                </c:pt>
                <c:pt idx="39">
                  <c:v>38.649047619047622</c:v>
                </c:pt>
                <c:pt idx="40">
                  <c:v>38.649047619047622</c:v>
                </c:pt>
                <c:pt idx="41">
                  <c:v>38.649047619047622</c:v>
                </c:pt>
                <c:pt idx="42">
                  <c:v>38.649047619047622</c:v>
                </c:pt>
                <c:pt idx="43">
                  <c:v>38.649047619047622</c:v>
                </c:pt>
                <c:pt idx="44">
                  <c:v>38.649047619047622</c:v>
                </c:pt>
                <c:pt idx="45">
                  <c:v>38.649047619047622</c:v>
                </c:pt>
                <c:pt idx="46">
                  <c:v>38.649047619047622</c:v>
                </c:pt>
                <c:pt idx="47">
                  <c:v>38.649047619047622</c:v>
                </c:pt>
                <c:pt idx="48">
                  <c:v>38.649047619047622</c:v>
                </c:pt>
                <c:pt idx="49">
                  <c:v>38.649047619047622</c:v>
                </c:pt>
                <c:pt idx="50">
                  <c:v>#N/A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Master!$D$25</c:f>
              <c:strCache>
                <c:ptCount val="1"/>
                <c:pt idx="0">
                  <c:v>Trajectory</c:v>
                </c:pt>
              </c:strCache>
            </c:strRef>
          </c:tx>
          <c:spPr>
            <a:ln>
              <a:solidFill>
                <a:srgbClr val="00B050"/>
              </a:solidFill>
              <a:prstDash val="solid"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Master!Trajectory</c:f>
              <c:numCache>
                <c:formatCode>0.00</c:formatCode>
                <c:ptCount val="51"/>
              </c:numCache>
            </c:numRef>
          </c:val>
          <c:smooth val="0"/>
        </c:ser>
        <c:ser>
          <c:idx val="17"/>
          <c:order val="17"/>
          <c:tx>
            <c:strRef>
              <c:f>Master!$E$25</c:f>
              <c:strCache>
                <c:ptCount val="1"/>
                <c:pt idx="0">
                  <c:v>Goal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Master!Goal</c:f>
              <c:numCache>
                <c:formatCode>0%</c:formatCode>
                <c:ptCount val="51"/>
                <c:pt idx="49" formatCode="0.00">
                  <c:v>60</c:v>
                </c:pt>
              </c:numCache>
            </c:numRef>
          </c:val>
          <c:smooth val="0"/>
        </c:ser>
        <c:ser>
          <c:idx val="0"/>
          <c:order val="0"/>
          <c:tx>
            <c:strRef>
              <c:f>Master!$AJ$25</c:f>
              <c:strCache>
                <c:ptCount val="1"/>
                <c:pt idx="0">
                  <c:v>Mean</c:v>
                </c:pt>
              </c:strCache>
            </c:strRef>
          </c:tx>
          <c:spPr>
            <a:ln w="19050">
              <a:solidFill>
                <a:schemeClr val="tx1"/>
              </a:solidFill>
              <a:prstDash val="dash"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Master!Mean</c:f>
              <c:numCache>
                <c:formatCode>0.0</c:formatCode>
                <c:ptCount val="51"/>
                <c:pt idx="0">
                  <c:v>50.61904761904762</c:v>
                </c:pt>
                <c:pt idx="1">
                  <c:v>50.61904761904762</c:v>
                </c:pt>
                <c:pt idx="2">
                  <c:v>50.61904761904762</c:v>
                </c:pt>
                <c:pt idx="3">
                  <c:v>50.61904761904762</c:v>
                </c:pt>
                <c:pt idx="4">
                  <c:v>50.61904761904762</c:v>
                </c:pt>
                <c:pt idx="5">
                  <c:v>50.61904761904762</c:v>
                </c:pt>
                <c:pt idx="6">
                  <c:v>50.61904761904762</c:v>
                </c:pt>
                <c:pt idx="7">
                  <c:v>50.61904761904762</c:v>
                </c:pt>
                <c:pt idx="8">
                  <c:v>50.61904761904762</c:v>
                </c:pt>
                <c:pt idx="9">
                  <c:v>50.61904761904762</c:v>
                </c:pt>
                <c:pt idx="10">
                  <c:v>50.61904761904762</c:v>
                </c:pt>
                <c:pt idx="11">
                  <c:v>50.61904761904762</c:v>
                </c:pt>
                <c:pt idx="12">
                  <c:v>50.61904761904762</c:v>
                </c:pt>
                <c:pt idx="13">
                  <c:v>50.61904761904762</c:v>
                </c:pt>
                <c:pt idx="14">
                  <c:v>50.61904761904762</c:v>
                </c:pt>
                <c:pt idx="15">
                  <c:v>50.61904761904762</c:v>
                </c:pt>
                <c:pt idx="16">
                  <c:v>50.61904761904762</c:v>
                </c:pt>
                <c:pt idx="17">
                  <c:v>50.61904761904762</c:v>
                </c:pt>
                <c:pt idx="18">
                  <c:v>50.61904761904762</c:v>
                </c:pt>
                <c:pt idx="19">
                  <c:v>50.61904761904762</c:v>
                </c:pt>
                <c:pt idx="20">
                  <c:v>50.61904761904762</c:v>
                </c:pt>
                <c:pt idx="21">
                  <c:v>50.61904761904762</c:v>
                </c:pt>
                <c:pt idx="22">
                  <c:v>50.61904761904762</c:v>
                </c:pt>
                <c:pt idx="23">
                  <c:v>50.61904761904762</c:v>
                </c:pt>
                <c:pt idx="24">
                  <c:v>50.61904761904762</c:v>
                </c:pt>
                <c:pt idx="25">
                  <c:v>50.61904761904762</c:v>
                </c:pt>
                <c:pt idx="26">
                  <c:v>50.61904761904762</c:v>
                </c:pt>
                <c:pt idx="27">
                  <c:v>50.61904761904762</c:v>
                </c:pt>
                <c:pt idx="28">
                  <c:v>50.61904761904762</c:v>
                </c:pt>
                <c:pt idx="29">
                  <c:v>50.61904761904762</c:v>
                </c:pt>
                <c:pt idx="30">
                  <c:v>50.61904761904762</c:v>
                </c:pt>
                <c:pt idx="31">
                  <c:v>50.61904761904762</c:v>
                </c:pt>
                <c:pt idx="32">
                  <c:v>50.61904761904762</c:v>
                </c:pt>
                <c:pt idx="33">
                  <c:v>50.61904761904762</c:v>
                </c:pt>
                <c:pt idx="34">
                  <c:v>50.61904761904762</c:v>
                </c:pt>
                <c:pt idx="35">
                  <c:v>50.61904761904762</c:v>
                </c:pt>
                <c:pt idx="36">
                  <c:v>50.61904761904762</c:v>
                </c:pt>
                <c:pt idx="37">
                  <c:v>50.61904761904762</c:v>
                </c:pt>
                <c:pt idx="38">
                  <c:v>50.61904761904762</c:v>
                </c:pt>
                <c:pt idx="39">
                  <c:v>50.61904761904762</c:v>
                </c:pt>
                <c:pt idx="40">
                  <c:v>50.61904761904762</c:v>
                </c:pt>
                <c:pt idx="41">
                  <c:v>50.61904761904762</c:v>
                </c:pt>
                <c:pt idx="42">
                  <c:v>50.61904761904762</c:v>
                </c:pt>
                <c:pt idx="43">
                  <c:v>50.61904761904762</c:v>
                </c:pt>
                <c:pt idx="44">
                  <c:v>50.61904761904762</c:v>
                </c:pt>
                <c:pt idx="45">
                  <c:v>50.61904761904762</c:v>
                </c:pt>
                <c:pt idx="46">
                  <c:v>50.61904761904762</c:v>
                </c:pt>
                <c:pt idx="47">
                  <c:v>50.61904761904762</c:v>
                </c:pt>
                <c:pt idx="48">
                  <c:v>50.61904761904762</c:v>
                </c:pt>
                <c:pt idx="49">
                  <c:v>50.61904761904762</c:v>
                </c:pt>
                <c:pt idx="50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Master!$C$25</c:f>
              <c:strCache>
                <c:ptCount val="1"/>
                <c:pt idx="0">
                  <c:v>Value</c:v>
                </c:pt>
              </c:strCache>
            </c:strRef>
          </c:tx>
          <c:spPr>
            <a:ln>
              <a:solidFill>
                <a:srgbClr val="005EB8"/>
              </a:solidFill>
            </a:ln>
          </c:spPr>
          <c:marker>
            <c:symbol val="circle"/>
            <c:size val="8"/>
            <c:spPr>
              <a:solidFill>
                <a:schemeClr val="bg1"/>
              </a:solidFill>
              <a:ln>
                <a:solidFill>
                  <a:srgbClr val="005EB8"/>
                </a:solidFill>
              </a:ln>
            </c:spPr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Master!Value</c:f>
              <c:numCache>
                <c:formatCode>General</c:formatCode>
                <c:ptCount val="51"/>
                <c:pt idx="0">
                  <c:v>55</c:v>
                </c:pt>
                <c:pt idx="1">
                  <c:v>58</c:v>
                </c:pt>
                <c:pt idx="2">
                  <c:v>51</c:v>
                </c:pt>
                <c:pt idx="3">
                  <c:v>52</c:v>
                </c:pt>
                <c:pt idx="4">
                  <c:v>57</c:v>
                </c:pt>
                <c:pt idx="5">
                  <c:v>56</c:v>
                </c:pt>
                <c:pt idx="6">
                  <c:v>45</c:v>
                </c:pt>
                <c:pt idx="7">
                  <c:v>45</c:v>
                </c:pt>
                <c:pt idx="8">
                  <c:v>46</c:v>
                </c:pt>
                <c:pt idx="9">
                  <c:v>44</c:v>
                </c:pt>
                <c:pt idx="10">
                  <c:v>52</c:v>
                </c:pt>
                <c:pt idx="11">
                  <c:v>54</c:v>
                </c:pt>
                <c:pt idx="12">
                  <c:v>54</c:v>
                </c:pt>
                <c:pt idx="13">
                  <c:v>49</c:v>
                </c:pt>
                <c:pt idx="14">
                  <c:v>50</c:v>
                </c:pt>
                <c:pt idx="15">
                  <c:v>44</c:v>
                </c:pt>
                <c:pt idx="16">
                  <c:v>46</c:v>
                </c:pt>
                <c:pt idx="17">
                  <c:v>58</c:v>
                </c:pt>
                <c:pt idx="18">
                  <c:v>53</c:v>
                </c:pt>
                <c:pt idx="19">
                  <c:v>43</c:v>
                </c:pt>
                <c:pt idx="20">
                  <c:v>51</c:v>
                </c:pt>
                <c:pt idx="21">
                  <c:v>60</c:v>
                </c:pt>
                <c:pt idx="22">
                  <c:v>50</c:v>
                </c:pt>
                <c:pt idx="23">
                  <c:v>48</c:v>
                </c:pt>
                <c:pt idx="24">
                  <c:v>59</c:v>
                </c:pt>
                <c:pt idx="25">
                  <c:v>41</c:v>
                </c:pt>
                <c:pt idx="26">
                  <c:v>59</c:v>
                </c:pt>
                <c:pt idx="27">
                  <c:v>59</c:v>
                </c:pt>
                <c:pt idx="28">
                  <c:v>43</c:v>
                </c:pt>
                <c:pt idx="29">
                  <c:v>56</c:v>
                </c:pt>
                <c:pt idx="30">
                  <c:v>53</c:v>
                </c:pt>
                <c:pt idx="31">
                  <c:v>42</c:v>
                </c:pt>
                <c:pt idx="32">
                  <c:v>44</c:v>
                </c:pt>
                <c:pt idx="33">
                  <c:v>44</c:v>
                </c:pt>
                <c:pt idx="34">
                  <c:v>53</c:v>
                </c:pt>
                <c:pt idx="35">
                  <c:v>43</c:v>
                </c:pt>
                <c:pt idx="36">
                  <c:v>44</c:v>
                </c:pt>
                <c:pt idx="37">
                  <c:v>60</c:v>
                </c:pt>
                <c:pt idx="38">
                  <c:v>45</c:v>
                </c:pt>
                <c:pt idx="39">
                  <c:v>60</c:v>
                </c:pt>
                <c:pt idx="40">
                  <c:v>48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3"/>
          <c:order val="2"/>
          <c:tx>
            <c:v>Control Limit</c:v>
          </c:tx>
          <c:spPr>
            <a:ln>
              <a:solidFill>
                <a:schemeClr val="bg1">
                  <a:lumMod val="65000"/>
                </a:schemeClr>
              </a:solidFill>
              <a:prstDash val="lgDash"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Master!Upper</c:f>
              <c:numCache>
                <c:formatCode>0.0</c:formatCode>
                <c:ptCount val="51"/>
                <c:pt idx="0">
                  <c:v>62.589047619047619</c:v>
                </c:pt>
                <c:pt idx="1">
                  <c:v>62.589047619047619</c:v>
                </c:pt>
                <c:pt idx="2">
                  <c:v>62.589047619047619</c:v>
                </c:pt>
                <c:pt idx="3">
                  <c:v>62.589047619047619</c:v>
                </c:pt>
                <c:pt idx="4">
                  <c:v>62.589047619047619</c:v>
                </c:pt>
                <c:pt idx="5">
                  <c:v>62.589047619047619</c:v>
                </c:pt>
                <c:pt idx="6">
                  <c:v>62.589047619047619</c:v>
                </c:pt>
                <c:pt idx="7">
                  <c:v>62.589047619047619</c:v>
                </c:pt>
                <c:pt idx="8">
                  <c:v>62.589047619047619</c:v>
                </c:pt>
                <c:pt idx="9">
                  <c:v>62.589047619047619</c:v>
                </c:pt>
                <c:pt idx="10">
                  <c:v>62.589047619047619</c:v>
                </c:pt>
                <c:pt idx="11">
                  <c:v>62.589047619047619</c:v>
                </c:pt>
                <c:pt idx="12">
                  <c:v>62.589047619047619</c:v>
                </c:pt>
                <c:pt idx="13">
                  <c:v>62.589047619047619</c:v>
                </c:pt>
                <c:pt idx="14">
                  <c:v>62.589047619047619</c:v>
                </c:pt>
                <c:pt idx="15">
                  <c:v>62.589047619047619</c:v>
                </c:pt>
                <c:pt idx="16">
                  <c:v>62.589047619047619</c:v>
                </c:pt>
                <c:pt idx="17">
                  <c:v>62.589047619047619</c:v>
                </c:pt>
                <c:pt idx="18">
                  <c:v>62.589047619047619</c:v>
                </c:pt>
                <c:pt idx="19">
                  <c:v>62.589047619047619</c:v>
                </c:pt>
                <c:pt idx="20">
                  <c:v>62.589047619047619</c:v>
                </c:pt>
                <c:pt idx="21">
                  <c:v>62.589047619047619</c:v>
                </c:pt>
                <c:pt idx="22">
                  <c:v>62.589047619047619</c:v>
                </c:pt>
                <c:pt idx="23">
                  <c:v>62.589047619047619</c:v>
                </c:pt>
                <c:pt idx="24">
                  <c:v>62.589047619047619</c:v>
                </c:pt>
                <c:pt idx="25">
                  <c:v>62.589047619047619</c:v>
                </c:pt>
                <c:pt idx="26">
                  <c:v>62.589047619047619</c:v>
                </c:pt>
                <c:pt idx="27">
                  <c:v>62.589047619047619</c:v>
                </c:pt>
                <c:pt idx="28">
                  <c:v>62.589047619047619</c:v>
                </c:pt>
                <c:pt idx="29">
                  <c:v>62.589047619047619</c:v>
                </c:pt>
                <c:pt idx="30">
                  <c:v>62.589047619047619</c:v>
                </c:pt>
                <c:pt idx="31">
                  <c:v>62.589047619047619</c:v>
                </c:pt>
                <c:pt idx="32">
                  <c:v>62.589047619047619</c:v>
                </c:pt>
                <c:pt idx="33">
                  <c:v>62.589047619047619</c:v>
                </c:pt>
                <c:pt idx="34">
                  <c:v>62.589047619047619</c:v>
                </c:pt>
                <c:pt idx="35">
                  <c:v>62.589047619047619</c:v>
                </c:pt>
                <c:pt idx="36">
                  <c:v>62.589047619047619</c:v>
                </c:pt>
                <c:pt idx="37">
                  <c:v>62.589047619047619</c:v>
                </c:pt>
                <c:pt idx="38">
                  <c:v>62.589047619047619</c:v>
                </c:pt>
                <c:pt idx="39">
                  <c:v>62.589047619047619</c:v>
                </c:pt>
                <c:pt idx="40">
                  <c:v>62.589047619047619</c:v>
                </c:pt>
                <c:pt idx="41">
                  <c:v>62.589047619047619</c:v>
                </c:pt>
                <c:pt idx="42">
                  <c:v>62.589047619047619</c:v>
                </c:pt>
                <c:pt idx="43">
                  <c:v>62.589047619047619</c:v>
                </c:pt>
                <c:pt idx="44">
                  <c:v>62.589047619047619</c:v>
                </c:pt>
                <c:pt idx="45">
                  <c:v>62.589047619047619</c:v>
                </c:pt>
                <c:pt idx="46">
                  <c:v>62.589047619047619</c:v>
                </c:pt>
                <c:pt idx="47">
                  <c:v>62.589047619047619</c:v>
                </c:pt>
                <c:pt idx="48">
                  <c:v>62.589047619047619</c:v>
                </c:pt>
                <c:pt idx="49">
                  <c:v>62.589047619047619</c:v>
                </c:pt>
                <c:pt idx="50">
                  <c:v>#N/A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Master!$AP$25</c:f>
              <c:strCache>
                <c:ptCount val="1"/>
                <c:pt idx="0">
                  <c:v>Outlier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8"/>
            <c:spPr>
              <a:solidFill>
                <a:srgbClr val="E87722"/>
              </a:solidFill>
              <a:ln w="9525">
                <a:solidFill>
                  <a:srgbClr val="005EB8"/>
                </a:solidFill>
              </a:ln>
            </c:spPr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Master!Outlier</c:f>
              <c:numCache>
                <c:formatCode>0.0</c:formatCode>
                <c:ptCount val="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Master!$AO$25</c:f>
              <c:strCache>
                <c:ptCount val="1"/>
                <c:pt idx="0">
                  <c:v>Trend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FFC72C"/>
              </a:solidFill>
              <a:ln>
                <a:solidFill>
                  <a:srgbClr val="005EB8"/>
                </a:solidFill>
              </a:ln>
            </c:spPr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Master!Trend</c:f>
              <c:numCache>
                <c:formatCode>0.0</c:formatCode>
                <c:ptCount val="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Master!$AN$25</c:f>
              <c:strCache>
                <c:ptCount val="1"/>
                <c:pt idx="0">
                  <c:v>Shift</c:v>
                </c:pt>
              </c:strCache>
            </c:strRef>
          </c:tx>
          <c:spPr>
            <a:ln w="25400" cap="sq">
              <a:noFill/>
              <a:prstDash val="solid"/>
            </a:ln>
            <a:effectLst/>
          </c:spPr>
          <c:marker>
            <c:symbol val="circle"/>
            <c:size val="8"/>
            <c:spPr>
              <a:solidFill>
                <a:srgbClr val="DA1884"/>
              </a:solidFill>
              <a:ln>
                <a:solidFill>
                  <a:srgbClr val="005EB8"/>
                </a:solidFill>
              </a:ln>
              <a:effectLst/>
            </c:spPr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Master!Shift</c:f>
              <c:numCache>
                <c:formatCode>0.0</c:formatCode>
                <c:ptCount val="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2"/>
          <c:order val="6"/>
          <c:tx>
            <c:strRef>
              <c:f>Master!$AM$25</c:f>
              <c:strCache>
                <c:ptCount val="1"/>
                <c:pt idx="0">
                  <c:v>Lower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  <a:prstDash val="lgDash"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Master!Lower</c:f>
              <c:numCache>
                <c:formatCode>0.0</c:formatCode>
                <c:ptCount val="51"/>
                <c:pt idx="0">
                  <c:v>38.649047619047622</c:v>
                </c:pt>
                <c:pt idx="1">
                  <c:v>38.649047619047622</c:v>
                </c:pt>
                <c:pt idx="2">
                  <c:v>38.649047619047622</c:v>
                </c:pt>
                <c:pt idx="3">
                  <c:v>38.649047619047622</c:v>
                </c:pt>
                <c:pt idx="4">
                  <c:v>38.649047619047622</c:v>
                </c:pt>
                <c:pt idx="5">
                  <c:v>38.649047619047622</c:v>
                </c:pt>
                <c:pt idx="6">
                  <c:v>38.649047619047622</c:v>
                </c:pt>
                <c:pt idx="7">
                  <c:v>38.649047619047622</c:v>
                </c:pt>
                <c:pt idx="8">
                  <c:v>38.649047619047622</c:v>
                </c:pt>
                <c:pt idx="9">
                  <c:v>38.649047619047622</c:v>
                </c:pt>
                <c:pt idx="10">
                  <c:v>38.649047619047622</c:v>
                </c:pt>
                <c:pt idx="11">
                  <c:v>38.649047619047622</c:v>
                </c:pt>
                <c:pt idx="12">
                  <c:v>38.649047619047622</c:v>
                </c:pt>
                <c:pt idx="13">
                  <c:v>38.649047619047622</c:v>
                </c:pt>
                <c:pt idx="14">
                  <c:v>38.649047619047622</c:v>
                </c:pt>
                <c:pt idx="15">
                  <c:v>38.649047619047622</c:v>
                </c:pt>
                <c:pt idx="16">
                  <c:v>38.649047619047622</c:v>
                </c:pt>
                <c:pt idx="17">
                  <c:v>38.649047619047622</c:v>
                </c:pt>
                <c:pt idx="18">
                  <c:v>38.649047619047622</c:v>
                </c:pt>
                <c:pt idx="19">
                  <c:v>38.649047619047622</c:v>
                </c:pt>
                <c:pt idx="20">
                  <c:v>38.649047619047622</c:v>
                </c:pt>
                <c:pt idx="21">
                  <c:v>38.649047619047622</c:v>
                </c:pt>
                <c:pt idx="22">
                  <c:v>38.649047619047622</c:v>
                </c:pt>
                <c:pt idx="23">
                  <c:v>38.649047619047622</c:v>
                </c:pt>
                <c:pt idx="24">
                  <c:v>38.649047619047622</c:v>
                </c:pt>
                <c:pt idx="25">
                  <c:v>38.649047619047622</c:v>
                </c:pt>
                <c:pt idx="26">
                  <c:v>38.649047619047622</c:v>
                </c:pt>
                <c:pt idx="27">
                  <c:v>38.649047619047622</c:v>
                </c:pt>
                <c:pt idx="28">
                  <c:v>38.649047619047622</c:v>
                </c:pt>
                <c:pt idx="29">
                  <c:v>38.649047619047622</c:v>
                </c:pt>
                <c:pt idx="30">
                  <c:v>38.649047619047622</c:v>
                </c:pt>
                <c:pt idx="31">
                  <c:v>38.649047619047622</c:v>
                </c:pt>
                <c:pt idx="32">
                  <c:v>38.649047619047622</c:v>
                </c:pt>
                <c:pt idx="33">
                  <c:v>38.649047619047622</c:v>
                </c:pt>
                <c:pt idx="34">
                  <c:v>38.649047619047622</c:v>
                </c:pt>
                <c:pt idx="35">
                  <c:v>38.649047619047622</c:v>
                </c:pt>
                <c:pt idx="36">
                  <c:v>38.649047619047622</c:v>
                </c:pt>
                <c:pt idx="37">
                  <c:v>38.649047619047622</c:v>
                </c:pt>
                <c:pt idx="38">
                  <c:v>38.649047619047622</c:v>
                </c:pt>
                <c:pt idx="39">
                  <c:v>38.649047619047622</c:v>
                </c:pt>
                <c:pt idx="40">
                  <c:v>38.649047619047622</c:v>
                </c:pt>
                <c:pt idx="41">
                  <c:v>38.649047619047622</c:v>
                </c:pt>
                <c:pt idx="42">
                  <c:v>38.649047619047622</c:v>
                </c:pt>
                <c:pt idx="43">
                  <c:v>38.649047619047622</c:v>
                </c:pt>
                <c:pt idx="44">
                  <c:v>38.649047619047622</c:v>
                </c:pt>
                <c:pt idx="45">
                  <c:v>38.649047619047622</c:v>
                </c:pt>
                <c:pt idx="46">
                  <c:v>38.649047619047622</c:v>
                </c:pt>
                <c:pt idx="47">
                  <c:v>38.649047619047622</c:v>
                </c:pt>
                <c:pt idx="48">
                  <c:v>38.649047619047622</c:v>
                </c:pt>
                <c:pt idx="49">
                  <c:v>38.649047619047622</c:v>
                </c:pt>
                <c:pt idx="50">
                  <c:v>#N/A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Master!$D$25</c:f>
              <c:strCache>
                <c:ptCount val="1"/>
                <c:pt idx="0">
                  <c:v>Trajectory</c:v>
                </c:pt>
              </c:strCache>
            </c:strRef>
          </c:tx>
          <c:spPr>
            <a:ln>
              <a:solidFill>
                <a:srgbClr val="00B050"/>
              </a:solidFill>
              <a:prstDash val="solid"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Master!Trajectory</c:f>
              <c:numCache>
                <c:formatCode>0.00</c:formatCode>
                <c:ptCount val="51"/>
              </c:numCache>
            </c:numRef>
          </c:val>
          <c:smooth val="0"/>
        </c:ser>
        <c:ser>
          <c:idx val="8"/>
          <c:order val="8"/>
          <c:tx>
            <c:strRef>
              <c:f>Master!$E$25</c:f>
              <c:strCache>
                <c:ptCount val="1"/>
                <c:pt idx="0">
                  <c:v>Goal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78BE20"/>
              </a:solidFill>
              <a:ln>
                <a:solidFill>
                  <a:srgbClr val="005EB8"/>
                </a:solidFill>
              </a:ln>
            </c:spPr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Master!Goal</c:f>
              <c:numCache>
                <c:formatCode>0%</c:formatCode>
                <c:ptCount val="51"/>
                <c:pt idx="49" formatCode="0.00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67520"/>
        <c:axId val="331256192"/>
      </c:lineChart>
      <c:dateAx>
        <c:axId val="2062675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 sz="1050"/>
            </a:pPr>
            <a:endParaRPr lang="en-US"/>
          </a:p>
        </c:txPr>
        <c:crossAx val="331256192"/>
        <c:crosses val="autoZero"/>
        <c:auto val="1"/>
        <c:lblOffset val="100"/>
        <c:baseTimeUnit val="months"/>
      </c:dateAx>
      <c:valAx>
        <c:axId val="331256192"/>
        <c:scaling>
          <c:orientation val="minMax"/>
        </c:scaling>
        <c:delete val="0"/>
        <c:axPos val="l"/>
        <c:majorGridlines>
          <c:spPr>
            <a:ln>
              <a:solidFill>
                <a:schemeClr val="tx2">
                  <a:alpha val="25000"/>
                </a:schemeClr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50"/>
            </a:pPr>
            <a:endParaRPr lang="en-US"/>
          </a:p>
        </c:txPr>
        <c:crossAx val="206267520"/>
        <c:crosses val="autoZero"/>
        <c:crossBetween val="between"/>
      </c:valAx>
    </c:plotArea>
    <c:legend>
      <c:legendPos val="t"/>
      <c:legendEntry>
        <c:idx val="15"/>
        <c:delete val="1"/>
      </c:legendEntry>
      <c:layout>
        <c:manualLayout>
          <c:xMode val="edge"/>
          <c:yMode val="edge"/>
          <c:x val="0.62872390279701507"/>
          <c:y val="0"/>
          <c:w val="0.37127609720298493"/>
          <c:h val="0.10363049966409658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0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GB"/>
              <a:t>Measure 1</a:t>
            </a:r>
          </a:p>
          <a:p>
            <a:pPr algn="l">
              <a:defRPr/>
            </a:pPr>
            <a:r>
              <a:rPr lang="en-GB" sz="1200" i="1"/>
              <a:t>[Description</a:t>
            </a:r>
            <a:r>
              <a:rPr lang="en-GB" sz="1200" i="1" baseline="0"/>
              <a:t> of measure]</a:t>
            </a:r>
            <a:endParaRPr lang="en-GB" sz="1200" i="1"/>
          </a:p>
        </c:rich>
      </c:tx>
      <c:layout>
        <c:manualLayout>
          <c:xMode val="edge"/>
          <c:yMode val="edge"/>
          <c:x val="3.6848280753038241E-4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4647942629218589E-2"/>
          <c:y val="0.18599091363634343"/>
          <c:w val="0.87527175864232087"/>
          <c:h val="0.68032693936769439"/>
        </c:manualLayout>
      </c:layout>
      <c:areaChart>
        <c:grouping val="standard"/>
        <c:varyColors val="0"/>
        <c:ser>
          <c:idx val="3"/>
          <c:order val="2"/>
          <c:tx>
            <c:v>Control Limit</c:v>
          </c:tx>
          <c:spPr>
            <a:solidFill>
              <a:srgbClr val="005EB8">
                <a:alpha val="10000"/>
              </a:srgbClr>
            </a:solidFill>
          </c:spPr>
          <c:val>
            <c:numRef>
              <c:f>Master!$AL$26:$AL$68</c:f>
              <c:numCache>
                <c:formatCode>0.0</c:formatCode>
                <c:ptCount val="43"/>
                <c:pt idx="0">
                  <c:v>62.589047619047619</c:v>
                </c:pt>
                <c:pt idx="1">
                  <c:v>62.589047619047619</c:v>
                </c:pt>
                <c:pt idx="2">
                  <c:v>62.589047619047619</c:v>
                </c:pt>
                <c:pt idx="3">
                  <c:v>62.589047619047619</c:v>
                </c:pt>
                <c:pt idx="4">
                  <c:v>62.589047619047619</c:v>
                </c:pt>
                <c:pt idx="5">
                  <c:v>62.589047619047619</c:v>
                </c:pt>
                <c:pt idx="6">
                  <c:v>62.589047619047619</c:v>
                </c:pt>
                <c:pt idx="7">
                  <c:v>62.589047619047619</c:v>
                </c:pt>
                <c:pt idx="8">
                  <c:v>62.589047619047619</c:v>
                </c:pt>
                <c:pt idx="9">
                  <c:v>62.589047619047619</c:v>
                </c:pt>
                <c:pt idx="10">
                  <c:v>62.589047619047619</c:v>
                </c:pt>
                <c:pt idx="11">
                  <c:v>62.589047619047619</c:v>
                </c:pt>
                <c:pt idx="12">
                  <c:v>62.589047619047619</c:v>
                </c:pt>
                <c:pt idx="13">
                  <c:v>62.589047619047619</c:v>
                </c:pt>
                <c:pt idx="14">
                  <c:v>62.589047619047619</c:v>
                </c:pt>
                <c:pt idx="15">
                  <c:v>62.589047619047619</c:v>
                </c:pt>
                <c:pt idx="16">
                  <c:v>62.589047619047619</c:v>
                </c:pt>
                <c:pt idx="17">
                  <c:v>62.589047619047619</c:v>
                </c:pt>
                <c:pt idx="18">
                  <c:v>62.589047619047619</c:v>
                </c:pt>
                <c:pt idx="19">
                  <c:v>62.589047619047619</c:v>
                </c:pt>
                <c:pt idx="20">
                  <c:v>62.589047619047619</c:v>
                </c:pt>
                <c:pt idx="21">
                  <c:v>62.589047619047619</c:v>
                </c:pt>
                <c:pt idx="22">
                  <c:v>62.589047619047619</c:v>
                </c:pt>
                <c:pt idx="23">
                  <c:v>62.589047619047619</c:v>
                </c:pt>
                <c:pt idx="24">
                  <c:v>62.589047619047619</c:v>
                </c:pt>
                <c:pt idx="25">
                  <c:v>62.589047619047619</c:v>
                </c:pt>
                <c:pt idx="26">
                  <c:v>62.589047619047619</c:v>
                </c:pt>
                <c:pt idx="27">
                  <c:v>62.589047619047619</c:v>
                </c:pt>
                <c:pt idx="28">
                  <c:v>62.589047619047619</c:v>
                </c:pt>
                <c:pt idx="29">
                  <c:v>62.589047619047619</c:v>
                </c:pt>
                <c:pt idx="30">
                  <c:v>62.589047619047619</c:v>
                </c:pt>
                <c:pt idx="31">
                  <c:v>62.589047619047619</c:v>
                </c:pt>
                <c:pt idx="32">
                  <c:v>62.589047619047619</c:v>
                </c:pt>
                <c:pt idx="33">
                  <c:v>62.589047619047619</c:v>
                </c:pt>
                <c:pt idx="34">
                  <c:v>62.589047619047619</c:v>
                </c:pt>
                <c:pt idx="35">
                  <c:v>62.589047619047619</c:v>
                </c:pt>
                <c:pt idx="36">
                  <c:v>62.589047619047619</c:v>
                </c:pt>
                <c:pt idx="37">
                  <c:v>62.589047619047619</c:v>
                </c:pt>
                <c:pt idx="38">
                  <c:v>62.589047619047619</c:v>
                </c:pt>
                <c:pt idx="39">
                  <c:v>62.589047619047619</c:v>
                </c:pt>
                <c:pt idx="40">
                  <c:v>62.589047619047619</c:v>
                </c:pt>
                <c:pt idx="41">
                  <c:v>62.589047619047619</c:v>
                </c:pt>
                <c:pt idx="42">
                  <c:v>62.589047619047619</c:v>
                </c:pt>
              </c:numCache>
            </c:numRef>
          </c:val>
        </c:ser>
        <c:ser>
          <c:idx val="2"/>
          <c:order val="5"/>
          <c:tx>
            <c:strRef>
              <c:f>Master!$AM$25</c:f>
              <c:strCache>
                <c:ptCount val="1"/>
                <c:pt idx="0">
                  <c:v>Lower</c:v>
                </c:pt>
              </c:strCache>
            </c:strRef>
          </c:tx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val>
            <c:numRef>
              <c:f>Master!Lower</c:f>
              <c:numCache>
                <c:formatCode>0.0</c:formatCode>
                <c:ptCount val="51"/>
                <c:pt idx="0">
                  <c:v>38.649047619047622</c:v>
                </c:pt>
                <c:pt idx="1">
                  <c:v>38.649047619047622</c:v>
                </c:pt>
                <c:pt idx="2">
                  <c:v>38.649047619047622</c:v>
                </c:pt>
                <c:pt idx="3">
                  <c:v>38.649047619047622</c:v>
                </c:pt>
                <c:pt idx="4">
                  <c:v>38.649047619047622</c:v>
                </c:pt>
                <c:pt idx="5">
                  <c:v>38.649047619047622</c:v>
                </c:pt>
                <c:pt idx="6">
                  <c:v>38.649047619047622</c:v>
                </c:pt>
                <c:pt idx="7">
                  <c:v>38.649047619047622</c:v>
                </c:pt>
                <c:pt idx="8">
                  <c:v>38.649047619047622</c:v>
                </c:pt>
                <c:pt idx="9">
                  <c:v>38.649047619047622</c:v>
                </c:pt>
                <c:pt idx="10">
                  <c:v>38.649047619047622</c:v>
                </c:pt>
                <c:pt idx="11">
                  <c:v>38.649047619047622</c:v>
                </c:pt>
                <c:pt idx="12">
                  <c:v>38.649047619047622</c:v>
                </c:pt>
                <c:pt idx="13">
                  <c:v>38.649047619047622</c:v>
                </c:pt>
                <c:pt idx="14">
                  <c:v>38.649047619047622</c:v>
                </c:pt>
                <c:pt idx="15">
                  <c:v>38.649047619047622</c:v>
                </c:pt>
                <c:pt idx="16">
                  <c:v>38.649047619047622</c:v>
                </c:pt>
                <c:pt idx="17">
                  <c:v>38.649047619047622</c:v>
                </c:pt>
                <c:pt idx="18">
                  <c:v>38.649047619047622</c:v>
                </c:pt>
                <c:pt idx="19">
                  <c:v>38.649047619047622</c:v>
                </c:pt>
                <c:pt idx="20">
                  <c:v>38.649047619047622</c:v>
                </c:pt>
                <c:pt idx="21">
                  <c:v>38.649047619047622</c:v>
                </c:pt>
                <c:pt idx="22">
                  <c:v>38.649047619047622</c:v>
                </c:pt>
                <c:pt idx="23">
                  <c:v>38.649047619047622</c:v>
                </c:pt>
                <c:pt idx="24">
                  <c:v>38.649047619047622</c:v>
                </c:pt>
                <c:pt idx="25">
                  <c:v>38.649047619047622</c:v>
                </c:pt>
                <c:pt idx="26">
                  <c:v>38.649047619047622</c:v>
                </c:pt>
                <c:pt idx="27">
                  <c:v>38.649047619047622</c:v>
                </c:pt>
                <c:pt idx="28">
                  <c:v>38.649047619047622</c:v>
                </c:pt>
                <c:pt idx="29">
                  <c:v>38.649047619047622</c:v>
                </c:pt>
                <c:pt idx="30">
                  <c:v>38.649047619047622</c:v>
                </c:pt>
                <c:pt idx="31">
                  <c:v>38.649047619047622</c:v>
                </c:pt>
                <c:pt idx="32">
                  <c:v>38.649047619047622</c:v>
                </c:pt>
                <c:pt idx="33">
                  <c:v>38.649047619047622</c:v>
                </c:pt>
                <c:pt idx="34">
                  <c:v>38.649047619047622</c:v>
                </c:pt>
                <c:pt idx="35">
                  <c:v>38.649047619047622</c:v>
                </c:pt>
                <c:pt idx="36">
                  <c:v>38.649047619047622</c:v>
                </c:pt>
                <c:pt idx="37">
                  <c:v>38.649047619047622</c:v>
                </c:pt>
                <c:pt idx="38">
                  <c:v>38.649047619047622</c:v>
                </c:pt>
                <c:pt idx="39">
                  <c:v>38.649047619047622</c:v>
                </c:pt>
                <c:pt idx="40">
                  <c:v>38.649047619047622</c:v>
                </c:pt>
                <c:pt idx="41">
                  <c:v>38.649047619047622</c:v>
                </c:pt>
                <c:pt idx="42">
                  <c:v>38.649047619047622</c:v>
                </c:pt>
                <c:pt idx="43">
                  <c:v>38.649047619047622</c:v>
                </c:pt>
                <c:pt idx="44">
                  <c:v>38.649047619047622</c:v>
                </c:pt>
                <c:pt idx="45">
                  <c:v>38.649047619047622</c:v>
                </c:pt>
                <c:pt idx="46">
                  <c:v>38.649047619047622</c:v>
                </c:pt>
                <c:pt idx="47">
                  <c:v>38.649047619047622</c:v>
                </c:pt>
                <c:pt idx="48">
                  <c:v>38.649047619047622</c:v>
                </c:pt>
                <c:pt idx="49">
                  <c:v>38.649047619047622</c:v>
                </c:pt>
                <c:pt idx="50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008960"/>
        <c:axId val="342385408"/>
      </c:areaChart>
      <c:lineChart>
        <c:grouping val="standard"/>
        <c:varyColors val="0"/>
        <c:ser>
          <c:idx val="0"/>
          <c:order val="0"/>
          <c:tx>
            <c:strRef>
              <c:f>Master!$AJ$25</c:f>
              <c:strCache>
                <c:ptCount val="1"/>
                <c:pt idx="0">
                  <c:v>Mean</c:v>
                </c:pt>
              </c:strCache>
            </c:strRef>
          </c:tx>
          <c:spPr>
            <a:ln w="19050">
              <a:solidFill>
                <a:schemeClr val="tx1"/>
              </a:solidFill>
              <a:prstDash val="dash"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Master!Mean</c:f>
              <c:numCache>
                <c:formatCode>0.0</c:formatCode>
                <c:ptCount val="51"/>
                <c:pt idx="0">
                  <c:v>50.61904761904762</c:v>
                </c:pt>
                <c:pt idx="1">
                  <c:v>50.61904761904762</c:v>
                </c:pt>
                <c:pt idx="2">
                  <c:v>50.61904761904762</c:v>
                </c:pt>
                <c:pt idx="3">
                  <c:v>50.61904761904762</c:v>
                </c:pt>
                <c:pt idx="4">
                  <c:v>50.61904761904762</c:v>
                </c:pt>
                <c:pt idx="5">
                  <c:v>50.61904761904762</c:v>
                </c:pt>
                <c:pt idx="6">
                  <c:v>50.61904761904762</c:v>
                </c:pt>
                <c:pt idx="7">
                  <c:v>50.61904761904762</c:v>
                </c:pt>
                <c:pt idx="8">
                  <c:v>50.61904761904762</c:v>
                </c:pt>
                <c:pt idx="9">
                  <c:v>50.61904761904762</c:v>
                </c:pt>
                <c:pt idx="10">
                  <c:v>50.61904761904762</c:v>
                </c:pt>
                <c:pt idx="11">
                  <c:v>50.61904761904762</c:v>
                </c:pt>
                <c:pt idx="12">
                  <c:v>50.61904761904762</c:v>
                </c:pt>
                <c:pt idx="13">
                  <c:v>50.61904761904762</c:v>
                </c:pt>
                <c:pt idx="14">
                  <c:v>50.61904761904762</c:v>
                </c:pt>
                <c:pt idx="15">
                  <c:v>50.61904761904762</c:v>
                </c:pt>
                <c:pt idx="16">
                  <c:v>50.61904761904762</c:v>
                </c:pt>
                <c:pt idx="17">
                  <c:v>50.61904761904762</c:v>
                </c:pt>
                <c:pt idx="18">
                  <c:v>50.61904761904762</c:v>
                </c:pt>
                <c:pt idx="19">
                  <c:v>50.61904761904762</c:v>
                </c:pt>
                <c:pt idx="20">
                  <c:v>50.61904761904762</c:v>
                </c:pt>
                <c:pt idx="21">
                  <c:v>50.61904761904762</c:v>
                </c:pt>
                <c:pt idx="22">
                  <c:v>50.61904761904762</c:v>
                </c:pt>
                <c:pt idx="23">
                  <c:v>50.61904761904762</c:v>
                </c:pt>
                <c:pt idx="24">
                  <c:v>50.61904761904762</c:v>
                </c:pt>
                <c:pt idx="25">
                  <c:v>50.61904761904762</c:v>
                </c:pt>
                <c:pt idx="26">
                  <c:v>50.61904761904762</c:v>
                </c:pt>
                <c:pt idx="27">
                  <c:v>50.61904761904762</c:v>
                </c:pt>
                <c:pt idx="28">
                  <c:v>50.61904761904762</c:v>
                </c:pt>
                <c:pt idx="29">
                  <c:v>50.61904761904762</c:v>
                </c:pt>
                <c:pt idx="30">
                  <c:v>50.61904761904762</c:v>
                </c:pt>
                <c:pt idx="31">
                  <c:v>50.61904761904762</c:v>
                </c:pt>
                <c:pt idx="32">
                  <c:v>50.61904761904762</c:v>
                </c:pt>
                <c:pt idx="33">
                  <c:v>50.61904761904762</c:v>
                </c:pt>
                <c:pt idx="34">
                  <c:v>50.61904761904762</c:v>
                </c:pt>
                <c:pt idx="35">
                  <c:v>50.61904761904762</c:v>
                </c:pt>
                <c:pt idx="36">
                  <c:v>50.61904761904762</c:v>
                </c:pt>
                <c:pt idx="37">
                  <c:v>50.61904761904762</c:v>
                </c:pt>
                <c:pt idx="38">
                  <c:v>50.61904761904762</c:v>
                </c:pt>
                <c:pt idx="39">
                  <c:v>50.61904761904762</c:v>
                </c:pt>
                <c:pt idx="40">
                  <c:v>50.61904761904762</c:v>
                </c:pt>
                <c:pt idx="41">
                  <c:v>50.61904761904762</c:v>
                </c:pt>
                <c:pt idx="42">
                  <c:v>50.61904761904762</c:v>
                </c:pt>
                <c:pt idx="43">
                  <c:v>50.61904761904762</c:v>
                </c:pt>
                <c:pt idx="44">
                  <c:v>50.61904761904762</c:v>
                </c:pt>
                <c:pt idx="45">
                  <c:v>50.61904761904762</c:v>
                </c:pt>
                <c:pt idx="46">
                  <c:v>50.61904761904762</c:v>
                </c:pt>
                <c:pt idx="47">
                  <c:v>50.61904761904762</c:v>
                </c:pt>
                <c:pt idx="48">
                  <c:v>50.61904761904762</c:v>
                </c:pt>
                <c:pt idx="49">
                  <c:v>50.61904761904762</c:v>
                </c:pt>
                <c:pt idx="50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Master!$C$25</c:f>
              <c:strCache>
                <c:ptCount val="1"/>
                <c:pt idx="0">
                  <c:v>Value</c:v>
                </c:pt>
              </c:strCache>
            </c:strRef>
          </c:tx>
          <c:spPr>
            <a:ln>
              <a:solidFill>
                <a:srgbClr val="005EB8"/>
              </a:solidFill>
            </a:ln>
          </c:spPr>
          <c:marker>
            <c:symbol val="circle"/>
            <c:size val="8"/>
            <c:spPr>
              <a:solidFill>
                <a:schemeClr val="bg1"/>
              </a:solidFill>
              <a:ln>
                <a:solidFill>
                  <a:srgbClr val="005EB8"/>
                </a:solidFill>
              </a:ln>
            </c:spPr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Master!Value</c:f>
              <c:numCache>
                <c:formatCode>General</c:formatCode>
                <c:ptCount val="51"/>
                <c:pt idx="0">
                  <c:v>55</c:v>
                </c:pt>
                <c:pt idx="1">
                  <c:v>58</c:v>
                </c:pt>
                <c:pt idx="2">
                  <c:v>51</c:v>
                </c:pt>
                <c:pt idx="3">
                  <c:v>52</c:v>
                </c:pt>
                <c:pt idx="4">
                  <c:v>57</c:v>
                </c:pt>
                <c:pt idx="5">
                  <c:v>56</c:v>
                </c:pt>
                <c:pt idx="6">
                  <c:v>45</c:v>
                </c:pt>
                <c:pt idx="7">
                  <c:v>45</c:v>
                </c:pt>
                <c:pt idx="8">
                  <c:v>46</c:v>
                </c:pt>
                <c:pt idx="9">
                  <c:v>44</c:v>
                </c:pt>
                <c:pt idx="10">
                  <c:v>52</c:v>
                </c:pt>
                <c:pt idx="11">
                  <c:v>54</c:v>
                </c:pt>
                <c:pt idx="12">
                  <c:v>54</c:v>
                </c:pt>
                <c:pt idx="13">
                  <c:v>49</c:v>
                </c:pt>
                <c:pt idx="14">
                  <c:v>50</c:v>
                </c:pt>
                <c:pt idx="15">
                  <c:v>44</c:v>
                </c:pt>
                <c:pt idx="16">
                  <c:v>46</c:v>
                </c:pt>
                <c:pt idx="17">
                  <c:v>58</c:v>
                </c:pt>
                <c:pt idx="18">
                  <c:v>53</c:v>
                </c:pt>
                <c:pt idx="19">
                  <c:v>43</c:v>
                </c:pt>
                <c:pt idx="20">
                  <c:v>51</c:v>
                </c:pt>
                <c:pt idx="21">
                  <c:v>60</c:v>
                </c:pt>
                <c:pt idx="22">
                  <c:v>50</c:v>
                </c:pt>
                <c:pt idx="23">
                  <c:v>48</c:v>
                </c:pt>
                <c:pt idx="24">
                  <c:v>59</c:v>
                </c:pt>
                <c:pt idx="25">
                  <c:v>41</c:v>
                </c:pt>
                <c:pt idx="26">
                  <c:v>59</c:v>
                </c:pt>
                <c:pt idx="27">
                  <c:v>59</c:v>
                </c:pt>
                <c:pt idx="28">
                  <c:v>43</c:v>
                </c:pt>
                <c:pt idx="29">
                  <c:v>56</c:v>
                </c:pt>
                <c:pt idx="30">
                  <c:v>53</c:v>
                </c:pt>
                <c:pt idx="31">
                  <c:v>42</c:v>
                </c:pt>
                <c:pt idx="32">
                  <c:v>44</c:v>
                </c:pt>
                <c:pt idx="33">
                  <c:v>44</c:v>
                </c:pt>
                <c:pt idx="34">
                  <c:v>53</c:v>
                </c:pt>
                <c:pt idx="35">
                  <c:v>43</c:v>
                </c:pt>
                <c:pt idx="36">
                  <c:v>44</c:v>
                </c:pt>
                <c:pt idx="37">
                  <c:v>60</c:v>
                </c:pt>
                <c:pt idx="38">
                  <c:v>45</c:v>
                </c:pt>
                <c:pt idx="39">
                  <c:v>60</c:v>
                </c:pt>
                <c:pt idx="40">
                  <c:v>48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Master!$AO$25</c:f>
              <c:strCache>
                <c:ptCount val="1"/>
                <c:pt idx="0">
                  <c:v>Trend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FFC72C"/>
              </a:solidFill>
              <a:ln>
                <a:solidFill>
                  <a:srgbClr val="005EB8"/>
                </a:solidFill>
              </a:ln>
            </c:spPr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Master!Trend</c:f>
              <c:numCache>
                <c:formatCode>0.0</c:formatCode>
                <c:ptCount val="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Master!$AN$25</c:f>
              <c:strCache>
                <c:ptCount val="1"/>
                <c:pt idx="0">
                  <c:v>Shift</c:v>
                </c:pt>
              </c:strCache>
            </c:strRef>
          </c:tx>
          <c:spPr>
            <a:ln w="25400" cap="sq">
              <a:noFill/>
              <a:prstDash val="solid"/>
            </a:ln>
            <a:effectLst/>
          </c:spPr>
          <c:marker>
            <c:symbol val="circle"/>
            <c:size val="8"/>
            <c:spPr>
              <a:solidFill>
                <a:srgbClr val="DA1884"/>
              </a:solidFill>
              <a:ln>
                <a:solidFill>
                  <a:srgbClr val="005EB8"/>
                </a:solidFill>
              </a:ln>
              <a:effectLst/>
            </c:spPr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Master!Shift</c:f>
              <c:numCache>
                <c:formatCode>0.0</c:formatCode>
                <c:ptCount val="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Master!$AP$25</c:f>
              <c:strCache>
                <c:ptCount val="1"/>
                <c:pt idx="0">
                  <c:v>Outlier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8"/>
            <c:spPr>
              <a:solidFill>
                <a:srgbClr val="E87722"/>
              </a:solidFill>
              <a:ln w="9525">
                <a:solidFill>
                  <a:srgbClr val="005EB8"/>
                </a:solidFill>
              </a:ln>
            </c:spPr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Master!Outlier</c:f>
              <c:numCache>
                <c:formatCode>0.0</c:formatCode>
                <c:ptCount val="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Master!$D$25</c:f>
              <c:strCache>
                <c:ptCount val="1"/>
                <c:pt idx="0">
                  <c:v>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Master!Trajectory</c:f>
              <c:numCache>
                <c:formatCode>0.00</c:formatCode>
                <c:ptCount val="51"/>
              </c:numCache>
            </c:numRef>
          </c:val>
          <c:smooth val="0"/>
        </c:ser>
        <c:ser>
          <c:idx val="8"/>
          <c:order val="8"/>
          <c:tx>
            <c:strRef>
              <c:f>Master!$E$25</c:f>
              <c:strCache>
                <c:ptCount val="1"/>
                <c:pt idx="0">
                  <c:v>Goal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78BE20"/>
              </a:solidFill>
              <a:ln>
                <a:solidFill>
                  <a:srgbClr val="005EB8"/>
                </a:solidFill>
              </a:ln>
            </c:spPr>
          </c:marker>
          <c:cat>
            <c:numRef>
              <c:f>Master!DateTimeStamps</c:f>
              <c:numCache>
                <c:formatCode>m/d/yyyy</c:formatCode>
                <c:ptCount val="51"/>
                <c:pt idx="0">
                  <c:v>42461</c:v>
                </c:pt>
                <c:pt idx="1">
                  <c:v>42491</c:v>
                </c:pt>
                <c:pt idx="2">
                  <c:v>42522</c:v>
                </c:pt>
                <c:pt idx="3">
                  <c:v>42552</c:v>
                </c:pt>
                <c:pt idx="4">
                  <c:v>42583</c:v>
                </c:pt>
                <c:pt idx="5">
                  <c:v>42614</c:v>
                </c:pt>
                <c:pt idx="6">
                  <c:v>42644</c:v>
                </c:pt>
                <c:pt idx="7">
                  <c:v>42675</c:v>
                </c:pt>
                <c:pt idx="8">
                  <c:v>42705</c:v>
                </c:pt>
                <c:pt idx="9">
                  <c:v>42736</c:v>
                </c:pt>
                <c:pt idx="10">
                  <c:v>42767</c:v>
                </c:pt>
                <c:pt idx="11">
                  <c:v>42795</c:v>
                </c:pt>
                <c:pt idx="12">
                  <c:v>42826</c:v>
                </c:pt>
                <c:pt idx="13">
                  <c:v>42856</c:v>
                </c:pt>
                <c:pt idx="14">
                  <c:v>42887</c:v>
                </c:pt>
                <c:pt idx="15">
                  <c:v>42917</c:v>
                </c:pt>
                <c:pt idx="16">
                  <c:v>42948</c:v>
                </c:pt>
                <c:pt idx="17">
                  <c:v>42979</c:v>
                </c:pt>
                <c:pt idx="18">
                  <c:v>43009</c:v>
                </c:pt>
                <c:pt idx="19">
                  <c:v>43040</c:v>
                </c:pt>
                <c:pt idx="20">
                  <c:v>43070</c:v>
                </c:pt>
                <c:pt idx="21">
                  <c:v>43101</c:v>
                </c:pt>
                <c:pt idx="22">
                  <c:v>43132</c:v>
                </c:pt>
                <c:pt idx="23">
                  <c:v>43160</c:v>
                </c:pt>
                <c:pt idx="24">
                  <c:v>43191</c:v>
                </c:pt>
                <c:pt idx="25">
                  <c:v>43221</c:v>
                </c:pt>
                <c:pt idx="26">
                  <c:v>43252</c:v>
                </c:pt>
                <c:pt idx="27">
                  <c:v>43282</c:v>
                </c:pt>
                <c:pt idx="28">
                  <c:v>43313</c:v>
                </c:pt>
                <c:pt idx="29">
                  <c:v>43344</c:v>
                </c:pt>
                <c:pt idx="30">
                  <c:v>43374</c:v>
                </c:pt>
                <c:pt idx="31">
                  <c:v>43405</c:v>
                </c:pt>
                <c:pt idx="32">
                  <c:v>43435</c:v>
                </c:pt>
                <c:pt idx="33">
                  <c:v>43466</c:v>
                </c:pt>
                <c:pt idx="34">
                  <c:v>43497</c:v>
                </c:pt>
                <c:pt idx="35">
                  <c:v>43525</c:v>
                </c:pt>
                <c:pt idx="36">
                  <c:v>43556</c:v>
                </c:pt>
                <c:pt idx="37">
                  <c:v>43586</c:v>
                </c:pt>
                <c:pt idx="38">
                  <c:v>43617</c:v>
                </c:pt>
                <c:pt idx="39">
                  <c:v>43647</c:v>
                </c:pt>
                <c:pt idx="40">
                  <c:v>43678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cat>
          <c:val>
            <c:numRef>
              <c:f>Master!Goal</c:f>
              <c:numCache>
                <c:formatCode>0%</c:formatCode>
                <c:ptCount val="51"/>
                <c:pt idx="49" formatCode="0.00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008960"/>
        <c:axId val="342385408"/>
      </c:lineChart>
      <c:dateAx>
        <c:axId val="342008960"/>
        <c:scaling>
          <c:orientation val="minMax"/>
        </c:scaling>
        <c:delete val="0"/>
        <c:axPos val="b"/>
        <c:numFmt formatCode="d\-mmm\-yy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 sz="1050"/>
            </a:pPr>
            <a:endParaRPr lang="en-US"/>
          </a:p>
        </c:txPr>
        <c:crossAx val="342385408"/>
        <c:crosses val="autoZero"/>
        <c:auto val="1"/>
        <c:lblOffset val="100"/>
        <c:baseTimeUnit val="months"/>
      </c:dateAx>
      <c:valAx>
        <c:axId val="342385408"/>
        <c:scaling>
          <c:orientation val="minMax"/>
          <c:min val="0.60000000000000009"/>
        </c:scaling>
        <c:delete val="0"/>
        <c:axPos val="l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342008960"/>
        <c:crosses val="autoZero"/>
        <c:crossBetween val="midCat"/>
      </c:valAx>
    </c:plotArea>
    <c:legend>
      <c:legendPos val="t"/>
      <c:legendEntry>
        <c:idx val="1"/>
        <c:delete val="1"/>
      </c:legendEntry>
      <c:layout>
        <c:manualLayout>
          <c:xMode val="edge"/>
          <c:yMode val="edge"/>
          <c:x val="0.62872390279701507"/>
          <c:y val="0"/>
          <c:w val="0.37127609720298493"/>
          <c:h val="0.10363049966409658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0"/>
    <c:dispBlanksAs val="gap"/>
    <c:showDLblsOverMax val="0"/>
  </c:chart>
  <c:spPr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324095</xdr:colOff>
      <xdr:row>16</xdr:row>
      <xdr:rowOff>56904</xdr:rowOff>
    </xdr:from>
    <xdr:to>
      <xdr:col>77</xdr:col>
      <xdr:colOff>1</xdr:colOff>
      <xdr:row>52</xdr:row>
      <xdr:rowOff>1238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19050</xdr:colOff>
          <xdr:row>15</xdr:row>
          <xdr:rowOff>38100</xdr:rowOff>
        </xdr:from>
        <xdr:to>
          <xdr:col>57</xdr:col>
          <xdr:colOff>171450</xdr:colOff>
          <xdr:row>25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Reset Chart (required after copying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Y284"/>
  <sheetViews>
    <sheetView showGridLines="0" tabSelected="1" zoomScale="70" zoomScaleNormal="70" workbookViewId="0">
      <selection activeCell="C4" sqref="C4"/>
    </sheetView>
  </sheetViews>
  <sheetFormatPr defaultRowHeight="15" x14ac:dyDescent="0.25"/>
  <cols>
    <col min="1" max="1" width="4.42578125" customWidth="1"/>
    <col min="2" max="2" width="23.7109375" customWidth="1"/>
    <col min="3" max="3" width="13.42578125" customWidth="1"/>
    <col min="4" max="5" width="14" customWidth="1"/>
    <col min="6" max="6" width="19.140625" customWidth="1"/>
    <col min="7" max="7" width="14.7109375" hidden="1" customWidth="1"/>
    <col min="8" max="8" width="13.85546875" hidden="1" customWidth="1"/>
    <col min="9" max="9" width="11.5703125" hidden="1" customWidth="1"/>
    <col min="10" max="10" width="10.42578125" hidden="1" customWidth="1"/>
    <col min="11" max="11" width="4.140625" hidden="1" customWidth="1"/>
    <col min="12" max="12" width="9.140625" hidden="1" customWidth="1"/>
    <col min="13" max="13" width="3.42578125" hidden="1" customWidth="1"/>
    <col min="14" max="14" width="9.42578125" hidden="1" customWidth="1"/>
    <col min="15" max="15" width="5.7109375" hidden="1" customWidth="1"/>
    <col min="16" max="22" width="9.140625" hidden="1" customWidth="1"/>
    <col min="23" max="24" width="3.85546875" hidden="1" customWidth="1"/>
    <col min="25" max="39" width="9.140625" hidden="1" customWidth="1"/>
    <col min="40" max="40" width="8" hidden="1" customWidth="1"/>
    <col min="41" max="41" width="6.140625" hidden="1" customWidth="1"/>
    <col min="42" max="42" width="7.28515625" hidden="1" customWidth="1"/>
    <col min="43" max="43" width="13.140625" hidden="1" customWidth="1"/>
    <col min="44" max="44" width="9.140625" hidden="1" customWidth="1"/>
    <col min="45" max="45" width="4.42578125" hidden="1" customWidth="1"/>
    <col min="46" max="47" width="9.140625" hidden="1" customWidth="1"/>
    <col min="48" max="48" width="20.5703125" hidden="1" customWidth="1"/>
    <col min="49" max="49" width="19.85546875" hidden="1" customWidth="1"/>
    <col min="50" max="50" width="21.7109375" hidden="1" customWidth="1"/>
    <col min="51" max="51" width="19.85546875" hidden="1" customWidth="1"/>
    <col min="52" max="52" width="8.28515625" hidden="1" customWidth="1"/>
    <col min="53" max="53" width="9.140625" hidden="1" customWidth="1"/>
    <col min="54" max="54" width="4.140625" customWidth="1"/>
    <col min="55" max="55" width="3.7109375" customWidth="1"/>
    <col min="56" max="56" width="9.140625" customWidth="1"/>
    <col min="58" max="58" width="19.140625" bestFit="1" customWidth="1"/>
    <col min="59" max="59" width="15.42578125" bestFit="1" customWidth="1"/>
    <col min="60" max="60" width="15.140625" bestFit="1" customWidth="1"/>
  </cols>
  <sheetData>
    <row r="1" spans="1:56" s="27" customFormat="1" ht="18.75" x14ac:dyDescent="0.3">
      <c r="A1" s="28" t="s">
        <v>12</v>
      </c>
      <c r="B1" s="28"/>
    </row>
    <row r="3" spans="1:56" x14ac:dyDescent="0.25">
      <c r="B3" t="s">
        <v>18</v>
      </c>
      <c r="C3" s="34" t="s">
        <v>34</v>
      </c>
    </row>
    <row r="4" spans="1:56" s="34" customFormat="1" x14ac:dyDescent="0.25">
      <c r="B4" s="34" t="s">
        <v>42</v>
      </c>
      <c r="C4" s="34" t="s">
        <v>43</v>
      </c>
    </row>
    <row r="5" spans="1:56" s="29" customFormat="1" x14ac:dyDescent="0.25">
      <c r="A5" s="32" t="s">
        <v>11</v>
      </c>
      <c r="B5" s="32"/>
    </row>
    <row r="7" spans="1:56" x14ac:dyDescent="0.25">
      <c r="B7" s="43" t="s">
        <v>23</v>
      </c>
      <c r="C7" s="44" t="s">
        <v>29</v>
      </c>
      <c r="D7" s="46">
        <f>IF($C$7="Automatically",1,IF($C$7="Manually",2,0))</f>
        <v>1</v>
      </c>
    </row>
    <row r="9" spans="1:56" x14ac:dyDescent="0.25">
      <c r="B9" s="31" t="s">
        <v>22</v>
      </c>
      <c r="C9" s="30">
        <v>20</v>
      </c>
      <c r="D9" s="33" t="s">
        <v>19</v>
      </c>
      <c r="E9" s="31"/>
      <c r="F9" s="31"/>
      <c r="I9" s="33"/>
    </row>
    <row r="10" spans="1:56" ht="13.5" customHeight="1" x14ac:dyDescent="0.25">
      <c r="E10" s="17" t="s">
        <v>41</v>
      </c>
    </row>
    <row r="11" spans="1:56" ht="15" hidden="1" customHeight="1" x14ac:dyDescent="0.25">
      <c r="B11" s="31" t="s">
        <v>24</v>
      </c>
      <c r="C11" s="30" t="s">
        <v>25</v>
      </c>
      <c r="D11" s="46" t="str">
        <f>C11</f>
        <v>Default (I-chart)</v>
      </c>
      <c r="E11" s="31"/>
      <c r="F11" s="31"/>
      <c r="I11" s="33"/>
    </row>
    <row r="12" spans="1:56" ht="15" hidden="1" customHeight="1" x14ac:dyDescent="0.25"/>
    <row r="13" spans="1:56" s="17" customFormat="1" ht="15" hidden="1" customHeight="1" x14ac:dyDescent="0.25">
      <c r="B13" s="31" t="s">
        <v>37</v>
      </c>
      <c r="C13" s="59">
        <v>20</v>
      </c>
      <c r="D13" s="31" t="s">
        <v>38</v>
      </c>
      <c r="F13" s="61" t="s">
        <v>39</v>
      </c>
    </row>
    <row r="14" spans="1:56" ht="15" hidden="1" customHeight="1" x14ac:dyDescent="0.25">
      <c r="F14" s="17"/>
    </row>
    <row r="15" spans="1:56" s="29" customFormat="1" x14ac:dyDescent="0.25">
      <c r="A15" s="32" t="s">
        <v>17</v>
      </c>
      <c r="BD15" s="32" t="s">
        <v>30</v>
      </c>
    </row>
    <row r="16" spans="1:56" x14ac:dyDescent="0.25">
      <c r="BC16" s="29"/>
    </row>
    <row r="17" spans="2:55" x14ac:dyDescent="0.25">
      <c r="B17" s="67" t="s">
        <v>13</v>
      </c>
      <c r="C17" s="67"/>
      <c r="D17" s="67" t="s">
        <v>20</v>
      </c>
      <c r="E17" s="67"/>
      <c r="F17" s="62"/>
      <c r="N17" s="55" t="s">
        <v>31</v>
      </c>
      <c r="Y17" s="55" t="s">
        <v>32</v>
      </c>
      <c r="AJ17" s="55" t="s">
        <v>33</v>
      </c>
      <c r="AL17" s="17" t="str">
        <f>B13&amp;" ("&amp;C13&amp;" "&amp;D13&amp;")"</f>
        <v>Limits based on  (20 data points)</v>
      </c>
      <c r="AU17" s="35"/>
      <c r="BC17" s="29"/>
    </row>
    <row r="18" spans="2:55" s="19" customFormat="1" ht="16.5" hidden="1" customHeight="1" x14ac:dyDescent="0.25">
      <c r="B18" s="18"/>
      <c r="BC18" s="29"/>
    </row>
    <row r="19" spans="2:55" s="19" customFormat="1" ht="16.5" hidden="1" customHeight="1" x14ac:dyDescent="0.25">
      <c r="B19" s="18"/>
      <c r="BC19" s="29"/>
    </row>
    <row r="20" spans="2:55" s="19" customFormat="1" ht="16.5" hidden="1" customHeight="1" x14ac:dyDescent="0.25">
      <c r="B20" s="18"/>
      <c r="BC20" s="29"/>
    </row>
    <row r="21" spans="2:55" s="19" customFormat="1" ht="16.5" hidden="1" customHeight="1" x14ac:dyDescent="0.25">
      <c r="B21" s="18"/>
      <c r="BC21" s="29"/>
    </row>
    <row r="22" spans="2:55" s="19" customFormat="1" ht="16.5" hidden="1" customHeight="1" x14ac:dyDescent="0.25">
      <c r="B22" s="18"/>
      <c r="BC22" s="29"/>
    </row>
    <row r="23" spans="2:55" s="19" customFormat="1" ht="16.5" hidden="1" customHeight="1" x14ac:dyDescent="0.25">
      <c r="B23" s="18"/>
      <c r="BC23" s="29"/>
    </row>
    <row r="24" spans="2:55" ht="16.5" hidden="1" customHeight="1" x14ac:dyDescent="0.25">
      <c r="K24" s="13"/>
      <c r="BC24" s="29"/>
    </row>
    <row r="25" spans="2:55" x14ac:dyDescent="0.25">
      <c r="B25" s="38" t="s">
        <v>21</v>
      </c>
      <c r="C25" s="37" t="s">
        <v>9</v>
      </c>
      <c r="D25" s="37" t="s">
        <v>14</v>
      </c>
      <c r="E25" s="37" t="s">
        <v>16</v>
      </c>
      <c r="F25" s="37" t="s">
        <v>40</v>
      </c>
      <c r="G25" s="37" t="s">
        <v>15</v>
      </c>
      <c r="H25" s="37" t="s">
        <v>8</v>
      </c>
      <c r="I25" s="37" t="s">
        <v>7</v>
      </c>
      <c r="J25" s="37" t="s">
        <v>10</v>
      </c>
      <c r="L25" s="2" t="s">
        <v>4</v>
      </c>
      <c r="N25" s="6">
        <v>1</v>
      </c>
      <c r="O25" s="7">
        <v>2</v>
      </c>
      <c r="P25" s="7">
        <v>3</v>
      </c>
      <c r="Q25" s="7">
        <v>4</v>
      </c>
      <c r="R25" s="7">
        <v>5</v>
      </c>
      <c r="S25" s="7">
        <v>6</v>
      </c>
      <c r="T25" s="7">
        <v>7</v>
      </c>
      <c r="U25" s="7">
        <v>8</v>
      </c>
      <c r="V25" s="7">
        <v>9</v>
      </c>
      <c r="W25" s="8">
        <v>10</v>
      </c>
      <c r="Y25" s="6">
        <v>1</v>
      </c>
      <c r="Z25" s="7">
        <v>2</v>
      </c>
      <c r="AA25" s="7">
        <v>3</v>
      </c>
      <c r="AB25" s="7">
        <v>4</v>
      </c>
      <c r="AC25" s="7">
        <v>5</v>
      </c>
      <c r="AD25" s="7">
        <v>6</v>
      </c>
      <c r="AE25" s="7">
        <v>7</v>
      </c>
      <c r="AF25" s="7">
        <v>8</v>
      </c>
      <c r="AG25" s="7">
        <v>9</v>
      </c>
      <c r="AH25" s="8">
        <v>10</v>
      </c>
      <c r="AJ25" s="14" t="s">
        <v>0</v>
      </c>
      <c r="AK25" s="14" t="s">
        <v>3</v>
      </c>
      <c r="AL25" s="14" t="s">
        <v>1</v>
      </c>
      <c r="AM25" s="15" t="s">
        <v>2</v>
      </c>
      <c r="AN25" s="2" t="s">
        <v>7</v>
      </c>
      <c r="AO25" s="2" t="s">
        <v>10</v>
      </c>
      <c r="AP25" s="2" t="s">
        <v>6</v>
      </c>
      <c r="AQ25" s="2" t="s">
        <v>14</v>
      </c>
      <c r="AR25" s="2" t="s">
        <v>16</v>
      </c>
      <c r="AT25" s="5" t="s">
        <v>5</v>
      </c>
      <c r="AU25" s="2" t="s">
        <v>0</v>
      </c>
      <c r="AV25" s="5" t="s">
        <v>25</v>
      </c>
      <c r="AW25" s="5"/>
      <c r="AX25" s="5"/>
      <c r="AY25" s="5"/>
      <c r="AZ25" s="5"/>
      <c r="BA25" s="2"/>
      <c r="BC25" s="29"/>
    </row>
    <row r="26" spans="2:55" ht="15" customHeight="1" x14ac:dyDescent="0.25">
      <c r="B26" s="41">
        <f>IF('Your data source'!B4="",NA(),'Your data source'!B4)</f>
        <v>42461</v>
      </c>
      <c r="C26" s="65">
        <f ca="1">IF('Your data source'!C4="",NA(),'Your data source'!C4)</f>
        <v>55</v>
      </c>
      <c r="D26" s="63"/>
      <c r="E26" s="39"/>
      <c r="F26" s="60"/>
      <c r="G26" s="42">
        <v>1</v>
      </c>
      <c r="H26" s="45">
        <f ca="1">IF(G26&gt;$C$9,
    IF(I26&lt;&gt;1,
      H25,
      IF(OR($D$7&gt;=1,IF(F26="Change",1,0)=1),
        SUMIFS($C:$C,$G:$G,"&lt;"&amp;G26+$C$13,$G:$G,"&gt;="&amp;G26,$C:$C,"&lt;&gt;")/COUNTIFS($G:$G,"&lt;"&amp;G26+$C$13,$G:$G,"&gt;="&amp;G26,$C:$C,"&lt;&gt;"),
        SUMIFS($C:$C,$G:$G,"&lt;"&amp;$C$9,$C:$C,"&lt;&gt;")/COUNTIFS($G:$G,"&lt;"&amp;$C$9,$C:$C,"&lt;&gt;")
      )
    ),
    SUMIFS($C:$C,$G:$G,"&lt;"&amp;$C$9,$C:$C,"&lt;&gt;")/COUNTIFS($G:$G,"&lt;"&amp;$C$9,$C:$C,"&lt;&gt;")
)</f>
        <v>51</v>
      </c>
      <c r="I26" s="36">
        <f>IF(G26&gt;$C$9,IF(SUM(I18:I25)&gt;=1,0,IF(OR(ISBLANK(C33),ISNUMBER($C33)=FALSE,SUM(I18:J25)&gt;=1),0,IF(OR(AND(C26&gt;H25,C27&gt;H25,C28&gt;H25,C29&gt;H25,C30&gt;H25,C31&gt;H25,C32&gt;H25,C33&gt;H25),AND(C26&lt;H25,C27&lt;H25,C28&lt;H25,C29&lt;H25,C30&lt;H25,C31&lt;H25,C32&lt;H25,C33&lt;H25)),1,0))),0)</f>
        <v>0</v>
      </c>
      <c r="J26" s="36">
        <f>IF(G26&gt;$C$9,IF(OR(ISBLANK(C31),ISNUMBER($C33)=FALSE,SUM(I18:J25)&gt;=1),0,IF(SUM(J18:J25)&gt;=1,0,IF(OR(AND(C25&gt;C26,C26&gt;C27,C27&gt;C28,C28&gt;C29,C29&gt;C30,C30&gt;C31),AND(C25&lt;C26,C26&lt;C27,C27&lt;C28,C28&lt;C29,C29&lt;C30,C30&lt;C31)),1,0))),0)</f>
        <v>0</v>
      </c>
      <c r="L26" s="1">
        <f>IF(L25="Period",1,IF($D$7=1,IF(ISBLANK(C26),0,(IF(I26=1,L25+I26,IF(AND(I26=1,J26=1),L25+I26,L25+J26)))),IF($D$7=2,L25+IF(F26="Change",1,0),1)))</f>
        <v>1</v>
      </c>
      <c r="N26" s="24">
        <f ca="1">IF(ISNUMBER($C26),IF($G26&lt;=$C$9,IF($L26=N$25,$C26,""),IF(COUNT(INDIRECT(ADDRESS(ROW(N$26),COLUMN())&amp;":"&amp;ADDRESS(ROW()-1,COLUMN())))&gt;$C$13,"",IF($L26=N$25,$C26,""))),"")</f>
        <v>55</v>
      </c>
      <c r="O26" s="25" t="str">
        <f t="shared" ref="O26:W41" ca="1" si="0">IF(ISNUMBER($C26),IF($G26&lt;=$C$9,IF($L26=O$25,$C26,""),IF(COUNT(INDIRECT(ADDRESS(ROW(O$26),COLUMN())&amp;":"&amp;ADDRESS(ROW()-1,COLUMN())))&gt;$C$13,"",IF($L26=O$25,$C26,""))),"")</f>
        <v/>
      </c>
      <c r="P26" s="25" t="str">
        <f t="shared" ca="1" si="0"/>
        <v/>
      </c>
      <c r="Q26" s="25" t="str">
        <f t="shared" ca="1" si="0"/>
        <v/>
      </c>
      <c r="R26" s="25" t="str">
        <f t="shared" ca="1" si="0"/>
        <v/>
      </c>
      <c r="S26" s="25" t="str">
        <f t="shared" ca="1" si="0"/>
        <v/>
      </c>
      <c r="T26" s="25" t="str">
        <f t="shared" ca="1" si="0"/>
        <v/>
      </c>
      <c r="U26" s="25" t="str">
        <f t="shared" ca="1" si="0"/>
        <v/>
      </c>
      <c r="V26" s="25" t="str">
        <f t="shared" ca="1" si="0"/>
        <v/>
      </c>
      <c r="W26" s="26" t="str">
        <f t="shared" ca="1" si="0"/>
        <v/>
      </c>
      <c r="Y26" s="24"/>
      <c r="Z26" s="25"/>
      <c r="AA26" s="25"/>
      <c r="AB26" s="25"/>
      <c r="AC26" s="25"/>
      <c r="AD26" s="25"/>
      <c r="AE26" s="25"/>
      <c r="AF26" s="25"/>
      <c r="AG26" s="25"/>
      <c r="AH26" s="26"/>
      <c r="AJ26" s="12">
        <f t="shared" ref="AJ26:AJ56" ca="1" si="1">IF(ISBLANK(C26),NA(),VLOOKUP(L26,values,2,0))</f>
        <v>50.61904761904762</v>
      </c>
      <c r="AK26" s="51">
        <f t="shared" ref="AK26:AK89" ca="1" si="2">IF(ISBLANK(C26),NA(),INDEX($AV$26:$BA$35,MATCH(L26,$AT$26:$AT$35,0),MATCH($D$11,$AV$25:$BA$25,0)))</f>
        <v>11.97</v>
      </c>
      <c r="AL26" s="16">
        <f t="shared" ref="AL26:AL89" ca="1" si="3">IF(ISBLANK(C26),NA(),AJ26+AK26)</f>
        <v>62.589047619047619</v>
      </c>
      <c r="AM26" s="16">
        <f t="shared" ref="AM26:AM89" ca="1" si="4">IF(ISBLANK(C26),NA(),AJ26-AK26)</f>
        <v>38.649047619047622</v>
      </c>
      <c r="AN26" s="16" t="e">
        <f t="shared" ref="AN26:AN89" si="5">IF(SUM(I19:I26)&gt;0,C26,NA())</f>
        <v>#N/A</v>
      </c>
      <c r="AO26" s="16" t="e">
        <f t="shared" ref="AO26:AO89" si="6">IF(SUM(J21:J26)&gt;0,C26,NA())</f>
        <v>#N/A</v>
      </c>
      <c r="AP26" s="16" t="e">
        <f t="shared" ref="AP26:AP89" ca="1" si="7">IF(C26&lt;AM26,C26,IF(C26&gt;AL26,C26,NA()))</f>
        <v>#N/A</v>
      </c>
      <c r="AQ26" s="16" t="e">
        <f t="shared" ref="AQ26:AR89" si="8">IF(ISBLANK(D26),NA(),D26)</f>
        <v>#N/A</v>
      </c>
      <c r="AR26" s="16" t="e">
        <f t="shared" si="8"/>
        <v>#N/A</v>
      </c>
      <c r="AT26" s="3">
        <v>1</v>
      </c>
      <c r="AU26" s="9">
        <f ca="1">IFERROR(AVERAGE(N26:N2284),"")</f>
        <v>50.61904761904762</v>
      </c>
      <c r="AV26" s="47">
        <f ca="1">IFERROR((2.66*AVERAGE($Y$26:$Y$2284)),"")</f>
        <v>11.97</v>
      </c>
      <c r="AW26" s="47"/>
      <c r="AX26" s="47"/>
      <c r="AY26" s="47"/>
      <c r="AZ26" s="47"/>
      <c r="BA26" s="48"/>
      <c r="BB26" s="66" t="s">
        <v>35</v>
      </c>
      <c r="BC26" s="29"/>
    </row>
    <row r="27" spans="2:55" x14ac:dyDescent="0.25">
      <c r="B27" s="41">
        <f>IF('Your data source'!B5="",NA(),'Your data source'!B5)</f>
        <v>42491</v>
      </c>
      <c r="C27" s="65">
        <f ca="1">IF('Your data source'!C5="",NA(),'Your data source'!C5)</f>
        <v>58</v>
      </c>
      <c r="D27" s="63"/>
      <c r="E27" s="39"/>
      <c r="F27" s="60"/>
      <c r="G27" s="42">
        <f ca="1">IF(ISNUMBER(C27),G26+1,"")</f>
        <v>2</v>
      </c>
      <c r="H27" s="45">
        <f t="shared" ref="H27:H90" ca="1" si="9">IF(G27&gt;$C$9,
    IF(I27&lt;&gt;1,
      H26,
      IF(OR($D$7&gt;=1,IF(F27="Change",1,0)=1),
        SUMIFS($C:$C,$G:$G,"&lt;"&amp;G27+$C$13,$G:$G,"&gt;="&amp;G27,$C:$C,"&lt;&gt;")/COUNTIFS($G:$G,"&lt;"&amp;G27+$C$13,$G:$G,"&gt;="&amp;G27,$C:$C,"&lt;&gt;"),
        SUMIFS($C:$C,$G:$G,"&lt;"&amp;$C$9,$C:$C,"&lt;&gt;")/COUNTIFS($G:$G,"&lt;"&amp;$C$9,$C:$C,"&lt;&gt;")
      )
    ),
    SUMIFS($C:$C,$G:$G,"&lt;"&amp;$C$9,$C:$C,"&lt;&gt;")/COUNTIFS($G:$G,"&lt;"&amp;$C$9,$C:$C,"&lt;&gt;")
)</f>
        <v>51</v>
      </c>
      <c r="I27" s="36">
        <f t="shared" ref="I27:I90" ca="1" si="10">IF(G27&gt;$C$9,IF(SUM(I19:I26)&gt;=1,0,IF(OR(ISBLANK(C34),ISNUMBER($C34)=FALSE,SUM(I19:J26)&gt;=1),0,IF(OR(AND(C27&gt;H26,C28&gt;H26,C29&gt;H26,C30&gt;H26,C31&gt;H26,C32&gt;H26,C33&gt;H26,C34&gt;H26),AND(C27&lt;H26,C28&lt;H26,C29&lt;H26,C30&lt;H26,C31&lt;H26,C32&lt;H26,C33&lt;H26,C34&lt;H26)),1,0))),0)</f>
        <v>0</v>
      </c>
      <c r="J27" s="36">
        <f t="shared" ref="J27:J90" ca="1" si="11">IF(G27&gt;$C$9,IF(OR(ISBLANK(C32),ISNUMBER($C34)=FALSE,SUM(I19:J26)&gt;=1),0,IF(SUM(J19:J26)&gt;=1,0,IF(OR(AND(C26&gt;C27,C27&gt;C28,C28&gt;C29,C29&gt;C30,C30&gt;C31,C31&gt;C32),AND(C26&lt;C27,C27&lt;C28,C28&lt;C29,C29&lt;C30,C30&lt;C31,C31&lt;C32)),1,0))),0)</f>
        <v>0</v>
      </c>
      <c r="L27" s="1">
        <f t="shared" ref="L27:L90" ca="1" si="12">IF(L26="Period",1,IF($D$7=1,IF(ISBLANK(C27),0,(IF(I27=1,L26+I27,IF(AND(I27=1,J27=1),L26+I27,L26+J27)))),IF($D$7=2,L26+IF(F27="Change",1,0),1)))</f>
        <v>1</v>
      </c>
      <c r="N27" s="21">
        <f t="shared" ref="N27:W42" ca="1" si="13">IF(ISNUMBER($C27),IF($G27&lt;=$C$9,IF($L27=N$25,$C27,""),IF(COUNT(INDIRECT(ADDRESS(ROW(N$26),COLUMN())&amp;":"&amp;ADDRESS(ROW()-1,COLUMN())))&gt;$C$13,"",IF($L27=N$25,$C27,""))),"")</f>
        <v>58</v>
      </c>
      <c r="O27" s="22" t="str">
        <f t="shared" ca="1" si="0"/>
        <v/>
      </c>
      <c r="P27" s="22" t="str">
        <f t="shared" ca="1" si="0"/>
        <v/>
      </c>
      <c r="Q27" s="22" t="str">
        <f t="shared" ca="1" si="0"/>
        <v/>
      </c>
      <c r="R27" s="22" t="str">
        <f t="shared" ca="1" si="0"/>
        <v/>
      </c>
      <c r="S27" s="22" t="str">
        <f t="shared" ca="1" si="0"/>
        <v/>
      </c>
      <c r="T27" s="22" t="str">
        <f t="shared" ca="1" si="0"/>
        <v/>
      </c>
      <c r="U27" s="22" t="str">
        <f t="shared" ca="1" si="0"/>
        <v/>
      </c>
      <c r="V27" s="22" t="str">
        <f t="shared" ca="1" si="0"/>
        <v/>
      </c>
      <c r="W27" s="23" t="str">
        <f t="shared" ca="1" si="0"/>
        <v/>
      </c>
      <c r="Y27" s="21">
        <f ca="1">IFERROR(ABS(N27-N26),"")</f>
        <v>3</v>
      </c>
      <c r="Z27" s="22" t="str">
        <f t="shared" ref="Z27:AH42" ca="1" si="14">IFERROR(ABS(O27-O26),"")</f>
        <v/>
      </c>
      <c r="AA27" s="22" t="str">
        <f t="shared" ca="1" si="14"/>
        <v/>
      </c>
      <c r="AB27" s="22" t="str">
        <f t="shared" ca="1" si="14"/>
        <v/>
      </c>
      <c r="AC27" s="22" t="str">
        <f t="shared" ca="1" si="14"/>
        <v/>
      </c>
      <c r="AD27" s="22" t="str">
        <f t="shared" ca="1" si="14"/>
        <v/>
      </c>
      <c r="AE27" s="22" t="str">
        <f t="shared" ca="1" si="14"/>
        <v/>
      </c>
      <c r="AF27" s="22" t="str">
        <f t="shared" ca="1" si="14"/>
        <v/>
      </c>
      <c r="AG27" s="22" t="str">
        <f t="shared" ca="1" si="14"/>
        <v/>
      </c>
      <c r="AH27" s="23" t="str">
        <f t="shared" ca="1" si="14"/>
        <v/>
      </c>
      <c r="AJ27" s="12">
        <f t="shared" ca="1" si="1"/>
        <v>50.61904761904762</v>
      </c>
      <c r="AK27" s="51">
        <f t="shared" ca="1" si="2"/>
        <v>11.97</v>
      </c>
      <c r="AL27" s="16">
        <f t="shared" ca="1" si="3"/>
        <v>62.589047619047619</v>
      </c>
      <c r="AM27" s="16">
        <f t="shared" ca="1" si="4"/>
        <v>38.649047619047622</v>
      </c>
      <c r="AN27" s="10" t="e">
        <f t="shared" ca="1" si="5"/>
        <v>#N/A</v>
      </c>
      <c r="AO27" s="10" t="e">
        <f t="shared" ca="1" si="6"/>
        <v>#N/A</v>
      </c>
      <c r="AP27" s="10" t="e">
        <f t="shared" ca="1" si="7"/>
        <v>#N/A</v>
      </c>
      <c r="AQ27" s="10" t="e">
        <f t="shared" si="8"/>
        <v>#N/A</v>
      </c>
      <c r="AR27" s="10" t="e">
        <f t="shared" si="8"/>
        <v>#N/A</v>
      </c>
      <c r="AT27" s="3">
        <v>2</v>
      </c>
      <c r="AU27" s="20" t="str">
        <f ca="1">IFERROR(AVERAGE(O26:O2284),"")</f>
        <v/>
      </c>
      <c r="AV27" s="47" t="str">
        <f ca="1">IFERROR((2.66*AVERAGE($Z$26:$Z$2284)),"")</f>
        <v/>
      </c>
      <c r="AW27" s="47"/>
      <c r="AX27" s="47"/>
      <c r="AY27" s="47"/>
      <c r="AZ27" s="47"/>
      <c r="BA27" s="48"/>
      <c r="BB27" s="66"/>
      <c r="BC27" s="29"/>
    </row>
    <row r="28" spans="2:55" ht="15" customHeight="1" x14ac:dyDescent="0.25">
      <c r="B28" s="41">
        <f>IF('Your data source'!B6="",NA(),'Your data source'!B6)</f>
        <v>42522</v>
      </c>
      <c r="C28" s="65">
        <f ca="1">IF('Your data source'!C6="",NA(),'Your data source'!C6)</f>
        <v>51</v>
      </c>
      <c r="D28" s="63"/>
      <c r="E28" s="39"/>
      <c r="F28" s="60"/>
      <c r="G28" s="42">
        <f t="shared" ref="G28:G91" ca="1" si="15">IF(ISNUMBER(C28),G27+1,"")</f>
        <v>3</v>
      </c>
      <c r="H28" s="45">
        <f t="shared" ca="1" si="9"/>
        <v>51</v>
      </c>
      <c r="I28" s="36">
        <f t="shared" ca="1" si="10"/>
        <v>0</v>
      </c>
      <c r="J28" s="36">
        <f t="shared" ca="1" si="11"/>
        <v>0</v>
      </c>
      <c r="L28" s="1">
        <f t="shared" ca="1" si="12"/>
        <v>1</v>
      </c>
      <c r="N28" s="21">
        <f t="shared" ca="1" si="13"/>
        <v>51</v>
      </c>
      <c r="O28" s="22" t="str">
        <f t="shared" ca="1" si="0"/>
        <v/>
      </c>
      <c r="P28" s="22" t="str">
        <f t="shared" ca="1" si="0"/>
        <v/>
      </c>
      <c r="Q28" s="22" t="str">
        <f t="shared" ca="1" si="0"/>
        <v/>
      </c>
      <c r="R28" s="22" t="str">
        <f t="shared" ca="1" si="0"/>
        <v/>
      </c>
      <c r="S28" s="22" t="str">
        <f t="shared" ca="1" si="0"/>
        <v/>
      </c>
      <c r="T28" s="22" t="str">
        <f t="shared" ca="1" si="0"/>
        <v/>
      </c>
      <c r="U28" s="22" t="str">
        <f t="shared" ca="1" si="0"/>
        <v/>
      </c>
      <c r="V28" s="22" t="str">
        <f t="shared" ca="1" si="0"/>
        <v/>
      </c>
      <c r="W28" s="23" t="str">
        <f t="shared" ca="1" si="0"/>
        <v/>
      </c>
      <c r="Y28" s="21">
        <f t="shared" ref="Y28:AH66" ca="1" si="16">IFERROR(ABS(N28-N27),"")</f>
        <v>7</v>
      </c>
      <c r="Z28" s="22" t="str">
        <f t="shared" ca="1" si="14"/>
        <v/>
      </c>
      <c r="AA28" s="22" t="str">
        <f t="shared" ca="1" si="14"/>
        <v/>
      </c>
      <c r="AB28" s="22" t="str">
        <f t="shared" ca="1" si="14"/>
        <v/>
      </c>
      <c r="AC28" s="22" t="str">
        <f t="shared" ca="1" si="14"/>
        <v/>
      </c>
      <c r="AD28" s="22" t="str">
        <f t="shared" ca="1" si="14"/>
        <v/>
      </c>
      <c r="AE28" s="22" t="str">
        <f t="shared" ca="1" si="14"/>
        <v/>
      </c>
      <c r="AF28" s="22" t="str">
        <f t="shared" ca="1" si="14"/>
        <v/>
      </c>
      <c r="AG28" s="22" t="str">
        <f t="shared" ca="1" si="14"/>
        <v/>
      </c>
      <c r="AH28" s="23" t="str">
        <f t="shared" ca="1" si="14"/>
        <v/>
      </c>
      <c r="AJ28" s="12">
        <f t="shared" ca="1" si="1"/>
        <v>50.61904761904762</v>
      </c>
      <c r="AK28" s="51">
        <f t="shared" ca="1" si="2"/>
        <v>11.97</v>
      </c>
      <c r="AL28" s="16">
        <f t="shared" ca="1" si="3"/>
        <v>62.589047619047619</v>
      </c>
      <c r="AM28" s="16">
        <f t="shared" ca="1" si="4"/>
        <v>38.649047619047622</v>
      </c>
      <c r="AN28" s="10" t="e">
        <f t="shared" ca="1" si="5"/>
        <v>#N/A</v>
      </c>
      <c r="AO28" s="10" t="e">
        <f t="shared" ca="1" si="6"/>
        <v>#N/A</v>
      </c>
      <c r="AP28" s="10" t="e">
        <f t="shared" ca="1" si="7"/>
        <v>#N/A</v>
      </c>
      <c r="AQ28" s="10" t="e">
        <f t="shared" si="8"/>
        <v>#N/A</v>
      </c>
      <c r="AR28" s="10" t="e">
        <f t="shared" si="8"/>
        <v>#N/A</v>
      </c>
      <c r="AT28" s="3">
        <v>3</v>
      </c>
      <c r="AU28" s="9" t="str">
        <f ca="1">IFERROR(AVERAGE(P26:P2284),"")</f>
        <v/>
      </c>
      <c r="AV28" s="47" t="str">
        <f ca="1">IFERROR((2.66*AVERAGE($AA$26:$AA$2284)),"")</f>
        <v/>
      </c>
      <c r="AW28" s="47"/>
      <c r="AX28" s="47"/>
      <c r="AY28" s="47"/>
      <c r="AZ28" s="47"/>
      <c r="BA28" s="48"/>
      <c r="BB28" s="66"/>
      <c r="BC28" s="29"/>
    </row>
    <row r="29" spans="2:55" x14ac:dyDescent="0.25">
      <c r="B29" s="41">
        <f>IF('Your data source'!B7="",NA(),'Your data source'!B7)</f>
        <v>42552</v>
      </c>
      <c r="C29" s="65">
        <f ca="1">IF('Your data source'!C7="",NA(),'Your data source'!C7)</f>
        <v>52</v>
      </c>
      <c r="D29" s="63"/>
      <c r="E29" s="39"/>
      <c r="F29" s="60"/>
      <c r="G29" s="42">
        <f t="shared" ca="1" si="15"/>
        <v>4</v>
      </c>
      <c r="H29" s="45">
        <f t="shared" ca="1" si="9"/>
        <v>51</v>
      </c>
      <c r="I29" s="36">
        <f t="shared" ca="1" si="10"/>
        <v>0</v>
      </c>
      <c r="J29" s="36">
        <f t="shared" ca="1" si="11"/>
        <v>0</v>
      </c>
      <c r="L29" s="1">
        <f t="shared" ca="1" si="12"/>
        <v>1</v>
      </c>
      <c r="N29" s="21">
        <f t="shared" ca="1" si="13"/>
        <v>52</v>
      </c>
      <c r="O29" s="22" t="str">
        <f t="shared" ca="1" si="0"/>
        <v/>
      </c>
      <c r="P29" s="22" t="str">
        <f t="shared" ca="1" si="0"/>
        <v/>
      </c>
      <c r="Q29" s="22" t="str">
        <f t="shared" ca="1" si="0"/>
        <v/>
      </c>
      <c r="R29" s="22" t="str">
        <f t="shared" ca="1" si="0"/>
        <v/>
      </c>
      <c r="S29" s="22" t="str">
        <f t="shared" ca="1" si="0"/>
        <v/>
      </c>
      <c r="T29" s="22" t="str">
        <f t="shared" ca="1" si="0"/>
        <v/>
      </c>
      <c r="U29" s="22" t="str">
        <f t="shared" ca="1" si="0"/>
        <v/>
      </c>
      <c r="V29" s="22" t="str">
        <f t="shared" ca="1" si="0"/>
        <v/>
      </c>
      <c r="W29" s="23" t="str">
        <f t="shared" ca="1" si="0"/>
        <v/>
      </c>
      <c r="Y29" s="21">
        <f t="shared" ca="1" si="16"/>
        <v>1</v>
      </c>
      <c r="Z29" s="22" t="str">
        <f t="shared" ca="1" si="14"/>
        <v/>
      </c>
      <c r="AA29" s="22" t="str">
        <f t="shared" ca="1" si="14"/>
        <v/>
      </c>
      <c r="AB29" s="22" t="str">
        <f t="shared" ca="1" si="14"/>
        <v/>
      </c>
      <c r="AC29" s="22" t="str">
        <f t="shared" ca="1" si="14"/>
        <v/>
      </c>
      <c r="AD29" s="22" t="str">
        <f t="shared" ca="1" si="14"/>
        <v/>
      </c>
      <c r="AE29" s="22" t="str">
        <f t="shared" ca="1" si="14"/>
        <v/>
      </c>
      <c r="AF29" s="22" t="str">
        <f t="shared" ca="1" si="14"/>
        <v/>
      </c>
      <c r="AG29" s="22" t="str">
        <f t="shared" ca="1" si="14"/>
        <v/>
      </c>
      <c r="AH29" s="23" t="str">
        <f t="shared" ca="1" si="14"/>
        <v/>
      </c>
      <c r="AJ29" s="12">
        <f t="shared" ca="1" si="1"/>
        <v>50.61904761904762</v>
      </c>
      <c r="AK29" s="51">
        <f t="shared" ca="1" si="2"/>
        <v>11.97</v>
      </c>
      <c r="AL29" s="16">
        <f t="shared" ca="1" si="3"/>
        <v>62.589047619047619</v>
      </c>
      <c r="AM29" s="16">
        <f t="shared" ca="1" si="4"/>
        <v>38.649047619047622</v>
      </c>
      <c r="AN29" s="10" t="e">
        <f t="shared" ca="1" si="5"/>
        <v>#N/A</v>
      </c>
      <c r="AO29" s="10" t="e">
        <f t="shared" ca="1" si="6"/>
        <v>#N/A</v>
      </c>
      <c r="AP29" s="10" t="e">
        <f t="shared" ca="1" si="7"/>
        <v>#N/A</v>
      </c>
      <c r="AQ29" s="10" t="e">
        <f t="shared" si="8"/>
        <v>#N/A</v>
      </c>
      <c r="AR29" s="10" t="e">
        <f t="shared" si="8"/>
        <v>#N/A</v>
      </c>
      <c r="AT29" s="3">
        <v>4</v>
      </c>
      <c r="AU29" s="9" t="str">
        <f ca="1">IFERROR(AVERAGE(Q26:Q2284),"")</f>
        <v/>
      </c>
      <c r="AV29" s="47" t="str">
        <f ca="1">IFERROR((2.66*AVERAGE($AB$26:$AB$2284)),"")</f>
        <v/>
      </c>
      <c r="AW29" s="47"/>
      <c r="AX29" s="47"/>
      <c r="AY29" s="47"/>
      <c r="AZ29" s="47"/>
      <c r="BA29" s="48"/>
      <c r="BB29" s="66"/>
      <c r="BC29" s="29"/>
    </row>
    <row r="30" spans="2:55" x14ac:dyDescent="0.25">
      <c r="B30" s="41">
        <f>IF('Your data source'!B8="",NA(),'Your data source'!B8)</f>
        <v>42583</v>
      </c>
      <c r="C30" s="65">
        <f ca="1">IF('Your data source'!C8="",NA(),'Your data source'!C8)</f>
        <v>57</v>
      </c>
      <c r="D30" s="63"/>
      <c r="E30" s="39"/>
      <c r="F30" s="60"/>
      <c r="G30" s="42">
        <f t="shared" ca="1" si="15"/>
        <v>5</v>
      </c>
      <c r="H30" s="45">
        <f t="shared" ca="1" si="9"/>
        <v>51</v>
      </c>
      <c r="I30" s="36">
        <f t="shared" ca="1" si="10"/>
        <v>0</v>
      </c>
      <c r="J30" s="36">
        <f t="shared" ca="1" si="11"/>
        <v>0</v>
      </c>
      <c r="L30" s="1">
        <f t="shared" ca="1" si="12"/>
        <v>1</v>
      </c>
      <c r="N30" s="21">
        <f t="shared" ca="1" si="13"/>
        <v>57</v>
      </c>
      <c r="O30" s="22" t="str">
        <f t="shared" ca="1" si="0"/>
        <v/>
      </c>
      <c r="P30" s="22" t="str">
        <f t="shared" ca="1" si="0"/>
        <v/>
      </c>
      <c r="Q30" s="22" t="str">
        <f t="shared" ca="1" si="0"/>
        <v/>
      </c>
      <c r="R30" s="22" t="str">
        <f t="shared" ca="1" si="0"/>
        <v/>
      </c>
      <c r="S30" s="22" t="str">
        <f t="shared" ca="1" si="0"/>
        <v/>
      </c>
      <c r="T30" s="22" t="str">
        <f t="shared" ca="1" si="0"/>
        <v/>
      </c>
      <c r="U30" s="22" t="str">
        <f t="shared" ca="1" si="0"/>
        <v/>
      </c>
      <c r="V30" s="22" t="str">
        <f t="shared" ca="1" si="0"/>
        <v/>
      </c>
      <c r="W30" s="23" t="str">
        <f t="shared" ca="1" si="0"/>
        <v/>
      </c>
      <c r="Y30" s="21">
        <f t="shared" ca="1" si="16"/>
        <v>5</v>
      </c>
      <c r="Z30" s="22" t="str">
        <f t="shared" ca="1" si="14"/>
        <v/>
      </c>
      <c r="AA30" s="22" t="str">
        <f t="shared" ca="1" si="14"/>
        <v/>
      </c>
      <c r="AB30" s="22" t="str">
        <f t="shared" ca="1" si="14"/>
        <v/>
      </c>
      <c r="AC30" s="22" t="str">
        <f t="shared" ca="1" si="14"/>
        <v/>
      </c>
      <c r="AD30" s="22" t="str">
        <f t="shared" ca="1" si="14"/>
        <v/>
      </c>
      <c r="AE30" s="22" t="str">
        <f t="shared" ca="1" si="14"/>
        <v/>
      </c>
      <c r="AF30" s="22" t="str">
        <f t="shared" ca="1" si="14"/>
        <v/>
      </c>
      <c r="AG30" s="22" t="str">
        <f t="shared" ca="1" si="14"/>
        <v/>
      </c>
      <c r="AH30" s="23" t="str">
        <f t="shared" ca="1" si="14"/>
        <v/>
      </c>
      <c r="AJ30" s="12">
        <f t="shared" ca="1" si="1"/>
        <v>50.61904761904762</v>
      </c>
      <c r="AK30" s="51">
        <f t="shared" ca="1" si="2"/>
        <v>11.97</v>
      </c>
      <c r="AL30" s="16">
        <f t="shared" ca="1" si="3"/>
        <v>62.589047619047619</v>
      </c>
      <c r="AM30" s="16">
        <f t="shared" ca="1" si="4"/>
        <v>38.649047619047622</v>
      </c>
      <c r="AN30" s="10" t="e">
        <f t="shared" ca="1" si="5"/>
        <v>#N/A</v>
      </c>
      <c r="AO30" s="10" t="e">
        <f t="shared" ca="1" si="6"/>
        <v>#N/A</v>
      </c>
      <c r="AP30" s="10" t="e">
        <f t="shared" ca="1" si="7"/>
        <v>#N/A</v>
      </c>
      <c r="AQ30" s="10" t="e">
        <f t="shared" si="8"/>
        <v>#N/A</v>
      </c>
      <c r="AR30" s="10" t="e">
        <f t="shared" si="8"/>
        <v>#N/A</v>
      </c>
      <c r="AT30" s="3">
        <v>5</v>
      </c>
      <c r="AU30" s="9" t="str">
        <f ca="1">IFERROR(AVERAGE(R26:R2284),"")</f>
        <v/>
      </c>
      <c r="AV30" s="47" t="str">
        <f ca="1">IFERROR((2.66*AVERAGE($AC$26:$AC$2284)),"")</f>
        <v/>
      </c>
      <c r="AW30" s="47"/>
      <c r="AX30" s="47"/>
      <c r="AY30" s="47"/>
      <c r="AZ30" s="47"/>
      <c r="BA30" s="48"/>
      <c r="BB30" s="66"/>
      <c r="BC30" s="29"/>
    </row>
    <row r="31" spans="2:55" x14ac:dyDescent="0.25">
      <c r="B31" s="41">
        <f>IF('Your data source'!B9="",NA(),'Your data source'!B9)</f>
        <v>42614</v>
      </c>
      <c r="C31" s="65">
        <f ca="1">IF('Your data source'!C9="",NA(),'Your data source'!C9)</f>
        <v>56</v>
      </c>
      <c r="D31" s="63"/>
      <c r="E31" s="39"/>
      <c r="F31" s="60"/>
      <c r="G31" s="42">
        <f t="shared" ca="1" si="15"/>
        <v>6</v>
      </c>
      <c r="H31" s="45">
        <f t="shared" ca="1" si="9"/>
        <v>51</v>
      </c>
      <c r="I31" s="36">
        <f t="shared" ca="1" si="10"/>
        <v>0</v>
      </c>
      <c r="J31" s="36">
        <f t="shared" ca="1" si="11"/>
        <v>0</v>
      </c>
      <c r="L31" s="1">
        <f t="shared" ca="1" si="12"/>
        <v>1</v>
      </c>
      <c r="N31" s="21">
        <f t="shared" ca="1" si="13"/>
        <v>56</v>
      </c>
      <c r="O31" s="22" t="str">
        <f t="shared" ca="1" si="0"/>
        <v/>
      </c>
      <c r="P31" s="22" t="str">
        <f t="shared" ca="1" si="0"/>
        <v/>
      </c>
      <c r="Q31" s="22" t="str">
        <f t="shared" ca="1" si="0"/>
        <v/>
      </c>
      <c r="R31" s="22" t="str">
        <f t="shared" ca="1" si="0"/>
        <v/>
      </c>
      <c r="S31" s="22" t="str">
        <f t="shared" ca="1" si="0"/>
        <v/>
      </c>
      <c r="T31" s="22" t="str">
        <f t="shared" ca="1" si="0"/>
        <v/>
      </c>
      <c r="U31" s="22" t="str">
        <f t="shared" ca="1" si="0"/>
        <v/>
      </c>
      <c r="V31" s="22" t="str">
        <f t="shared" ca="1" si="0"/>
        <v/>
      </c>
      <c r="W31" s="23" t="str">
        <f t="shared" ca="1" si="0"/>
        <v/>
      </c>
      <c r="Y31" s="21">
        <f t="shared" ca="1" si="16"/>
        <v>1</v>
      </c>
      <c r="Z31" s="22" t="str">
        <f t="shared" ca="1" si="14"/>
        <v/>
      </c>
      <c r="AA31" s="22" t="str">
        <f t="shared" ca="1" si="14"/>
        <v/>
      </c>
      <c r="AB31" s="22" t="str">
        <f t="shared" ca="1" si="14"/>
        <v/>
      </c>
      <c r="AC31" s="22" t="str">
        <f t="shared" ca="1" si="14"/>
        <v/>
      </c>
      <c r="AD31" s="22" t="str">
        <f t="shared" ca="1" si="14"/>
        <v/>
      </c>
      <c r="AE31" s="22" t="str">
        <f t="shared" ca="1" si="14"/>
        <v/>
      </c>
      <c r="AF31" s="22" t="str">
        <f t="shared" ca="1" si="14"/>
        <v/>
      </c>
      <c r="AG31" s="22" t="str">
        <f t="shared" ca="1" si="14"/>
        <v/>
      </c>
      <c r="AH31" s="23" t="str">
        <f t="shared" ca="1" si="14"/>
        <v/>
      </c>
      <c r="AJ31" s="12">
        <f t="shared" ca="1" si="1"/>
        <v>50.61904761904762</v>
      </c>
      <c r="AK31" s="51">
        <f t="shared" ca="1" si="2"/>
        <v>11.97</v>
      </c>
      <c r="AL31" s="16">
        <f t="shared" ca="1" si="3"/>
        <v>62.589047619047619</v>
      </c>
      <c r="AM31" s="16">
        <f t="shared" ca="1" si="4"/>
        <v>38.649047619047622</v>
      </c>
      <c r="AN31" s="10" t="e">
        <f t="shared" ca="1" si="5"/>
        <v>#N/A</v>
      </c>
      <c r="AO31" s="10" t="e">
        <f t="shared" ca="1" si="6"/>
        <v>#N/A</v>
      </c>
      <c r="AP31" s="10" t="e">
        <f t="shared" ca="1" si="7"/>
        <v>#N/A</v>
      </c>
      <c r="AQ31" s="10" t="e">
        <f t="shared" si="8"/>
        <v>#N/A</v>
      </c>
      <c r="AR31" s="10" t="e">
        <f t="shared" si="8"/>
        <v>#N/A</v>
      </c>
      <c r="AT31" s="3">
        <v>6</v>
      </c>
      <c r="AU31" s="9" t="str">
        <f ca="1">IFERROR(AVERAGE(S26:S2284),"")</f>
        <v/>
      </c>
      <c r="AV31" s="47" t="str">
        <f ca="1">IFERROR((2.66*AVERAGE($AD$26:$AD$2284)),"")</f>
        <v/>
      </c>
      <c r="AW31" s="47"/>
      <c r="AX31" s="47"/>
      <c r="AY31" s="47"/>
      <c r="AZ31" s="47"/>
      <c r="BA31" s="48"/>
      <c r="BB31" s="66"/>
      <c r="BC31" s="29"/>
    </row>
    <row r="32" spans="2:55" x14ac:dyDescent="0.25">
      <c r="B32" s="41">
        <f>IF('Your data source'!B10="",NA(),'Your data source'!B10)</f>
        <v>42644</v>
      </c>
      <c r="C32" s="65">
        <f ca="1">IF('Your data source'!C10="",NA(),'Your data source'!C10)</f>
        <v>45</v>
      </c>
      <c r="D32" s="63"/>
      <c r="E32" s="39"/>
      <c r="F32" s="60"/>
      <c r="G32" s="42">
        <f t="shared" ca="1" si="15"/>
        <v>7</v>
      </c>
      <c r="H32" s="45">
        <f t="shared" ca="1" si="9"/>
        <v>51</v>
      </c>
      <c r="I32" s="36">
        <f t="shared" ca="1" si="10"/>
        <v>0</v>
      </c>
      <c r="J32" s="36">
        <f t="shared" ca="1" si="11"/>
        <v>0</v>
      </c>
      <c r="L32" s="1">
        <f t="shared" ca="1" si="12"/>
        <v>1</v>
      </c>
      <c r="N32" s="21">
        <f t="shared" ca="1" si="13"/>
        <v>45</v>
      </c>
      <c r="O32" s="22" t="str">
        <f t="shared" ca="1" si="0"/>
        <v/>
      </c>
      <c r="P32" s="22" t="str">
        <f t="shared" ca="1" si="0"/>
        <v/>
      </c>
      <c r="Q32" s="22" t="str">
        <f t="shared" ca="1" si="0"/>
        <v/>
      </c>
      <c r="R32" s="22" t="str">
        <f t="shared" ca="1" si="0"/>
        <v/>
      </c>
      <c r="S32" s="22" t="str">
        <f t="shared" ca="1" si="0"/>
        <v/>
      </c>
      <c r="T32" s="22" t="str">
        <f t="shared" ca="1" si="0"/>
        <v/>
      </c>
      <c r="U32" s="22" t="str">
        <f t="shared" ca="1" si="0"/>
        <v/>
      </c>
      <c r="V32" s="22" t="str">
        <f t="shared" ca="1" si="0"/>
        <v/>
      </c>
      <c r="W32" s="23" t="str">
        <f t="shared" ca="1" si="0"/>
        <v/>
      </c>
      <c r="Y32" s="21">
        <f t="shared" ca="1" si="16"/>
        <v>11</v>
      </c>
      <c r="Z32" s="22" t="str">
        <f t="shared" ca="1" si="14"/>
        <v/>
      </c>
      <c r="AA32" s="22" t="str">
        <f t="shared" ca="1" si="14"/>
        <v/>
      </c>
      <c r="AB32" s="22" t="str">
        <f t="shared" ca="1" si="14"/>
        <v/>
      </c>
      <c r="AC32" s="22" t="str">
        <f t="shared" ca="1" si="14"/>
        <v/>
      </c>
      <c r="AD32" s="22" t="str">
        <f t="shared" ca="1" si="14"/>
        <v/>
      </c>
      <c r="AE32" s="22" t="str">
        <f t="shared" ca="1" si="14"/>
        <v/>
      </c>
      <c r="AF32" s="22" t="str">
        <f t="shared" ca="1" si="14"/>
        <v/>
      </c>
      <c r="AG32" s="22" t="str">
        <f t="shared" ca="1" si="14"/>
        <v/>
      </c>
      <c r="AH32" s="23" t="str">
        <f t="shared" ca="1" si="14"/>
        <v/>
      </c>
      <c r="AJ32" s="12">
        <f t="shared" ca="1" si="1"/>
        <v>50.61904761904762</v>
      </c>
      <c r="AK32" s="51">
        <f t="shared" ca="1" si="2"/>
        <v>11.97</v>
      </c>
      <c r="AL32" s="16">
        <f t="shared" ca="1" si="3"/>
        <v>62.589047619047619</v>
      </c>
      <c r="AM32" s="16">
        <f t="shared" ca="1" si="4"/>
        <v>38.649047619047622</v>
      </c>
      <c r="AN32" s="10" t="e">
        <f t="shared" ca="1" si="5"/>
        <v>#N/A</v>
      </c>
      <c r="AO32" s="10" t="e">
        <f t="shared" ca="1" si="6"/>
        <v>#N/A</v>
      </c>
      <c r="AP32" s="10" t="e">
        <f t="shared" ca="1" si="7"/>
        <v>#N/A</v>
      </c>
      <c r="AQ32" s="10" t="e">
        <f t="shared" si="8"/>
        <v>#N/A</v>
      </c>
      <c r="AR32" s="10" t="e">
        <f t="shared" si="8"/>
        <v>#N/A</v>
      </c>
      <c r="AT32" s="3">
        <v>7</v>
      </c>
      <c r="AU32" s="9" t="str">
        <f ca="1">IFERROR(AVERAGE(T26:T2284),"")</f>
        <v/>
      </c>
      <c r="AV32" s="47" t="str">
        <f ca="1">IFERROR((2.66*AVERAGE($AE$26:$AE$2284)),"")</f>
        <v/>
      </c>
      <c r="AW32" s="47"/>
      <c r="AX32" s="47"/>
      <c r="AY32" s="47"/>
      <c r="AZ32" s="47"/>
      <c r="BA32" s="48"/>
      <c r="BB32" s="66"/>
      <c r="BC32" s="29"/>
    </row>
    <row r="33" spans="2:55" ht="15" customHeight="1" x14ac:dyDescent="0.25">
      <c r="B33" s="41">
        <f>IF('Your data source'!B11="",NA(),'Your data source'!B11)</f>
        <v>42675</v>
      </c>
      <c r="C33" s="65">
        <f ca="1">IF('Your data source'!C11="",NA(),'Your data source'!C11)</f>
        <v>45</v>
      </c>
      <c r="D33" s="63"/>
      <c r="E33" s="39"/>
      <c r="F33" s="60"/>
      <c r="G33" s="42">
        <f t="shared" ca="1" si="15"/>
        <v>8</v>
      </c>
      <c r="H33" s="45">
        <f t="shared" ca="1" si="9"/>
        <v>51</v>
      </c>
      <c r="I33" s="36">
        <f t="shared" ca="1" si="10"/>
        <v>0</v>
      </c>
      <c r="J33" s="36">
        <f t="shared" ca="1" si="11"/>
        <v>0</v>
      </c>
      <c r="L33" s="1">
        <f t="shared" ca="1" si="12"/>
        <v>1</v>
      </c>
      <c r="N33" s="21">
        <f t="shared" ca="1" si="13"/>
        <v>45</v>
      </c>
      <c r="O33" s="22" t="str">
        <f t="shared" ca="1" si="0"/>
        <v/>
      </c>
      <c r="P33" s="22" t="str">
        <f t="shared" ca="1" si="0"/>
        <v/>
      </c>
      <c r="Q33" s="22" t="str">
        <f t="shared" ca="1" si="0"/>
        <v/>
      </c>
      <c r="R33" s="22" t="str">
        <f t="shared" ca="1" si="0"/>
        <v/>
      </c>
      <c r="S33" s="22" t="str">
        <f t="shared" ca="1" si="0"/>
        <v/>
      </c>
      <c r="T33" s="22" t="str">
        <f t="shared" ca="1" si="0"/>
        <v/>
      </c>
      <c r="U33" s="22" t="str">
        <f t="shared" ca="1" si="0"/>
        <v/>
      </c>
      <c r="V33" s="22" t="str">
        <f t="shared" ca="1" si="0"/>
        <v/>
      </c>
      <c r="W33" s="23" t="str">
        <f t="shared" ca="1" si="0"/>
        <v/>
      </c>
      <c r="Y33" s="21">
        <f t="shared" ca="1" si="16"/>
        <v>0</v>
      </c>
      <c r="Z33" s="22" t="str">
        <f t="shared" ca="1" si="14"/>
        <v/>
      </c>
      <c r="AA33" s="22" t="str">
        <f t="shared" ca="1" si="14"/>
        <v/>
      </c>
      <c r="AB33" s="22" t="str">
        <f t="shared" ca="1" si="14"/>
        <v/>
      </c>
      <c r="AC33" s="22" t="str">
        <f t="shared" ca="1" si="14"/>
        <v/>
      </c>
      <c r="AD33" s="22" t="str">
        <f t="shared" ca="1" si="14"/>
        <v/>
      </c>
      <c r="AE33" s="22" t="str">
        <f t="shared" ca="1" si="14"/>
        <v/>
      </c>
      <c r="AF33" s="22" t="str">
        <f t="shared" ca="1" si="14"/>
        <v/>
      </c>
      <c r="AG33" s="22" t="str">
        <f t="shared" ca="1" si="14"/>
        <v/>
      </c>
      <c r="AH33" s="23" t="str">
        <f t="shared" ca="1" si="14"/>
        <v/>
      </c>
      <c r="AJ33" s="12">
        <f t="shared" ca="1" si="1"/>
        <v>50.61904761904762</v>
      </c>
      <c r="AK33" s="51">
        <f t="shared" ca="1" si="2"/>
        <v>11.97</v>
      </c>
      <c r="AL33" s="16">
        <f t="shared" ca="1" si="3"/>
        <v>62.589047619047619</v>
      </c>
      <c r="AM33" s="16">
        <f t="shared" ca="1" si="4"/>
        <v>38.649047619047622</v>
      </c>
      <c r="AN33" s="10" t="e">
        <f t="shared" ca="1" si="5"/>
        <v>#N/A</v>
      </c>
      <c r="AO33" s="10" t="e">
        <f t="shared" ca="1" si="6"/>
        <v>#N/A</v>
      </c>
      <c r="AP33" s="10" t="e">
        <f t="shared" ca="1" si="7"/>
        <v>#N/A</v>
      </c>
      <c r="AQ33" s="10" t="e">
        <f t="shared" si="8"/>
        <v>#N/A</v>
      </c>
      <c r="AR33" s="10" t="e">
        <f t="shared" si="8"/>
        <v>#N/A</v>
      </c>
      <c r="AT33" s="3">
        <v>8</v>
      </c>
      <c r="AU33" s="9" t="str">
        <f ca="1">IFERROR(AVERAGE(U26:U2284),"")</f>
        <v/>
      </c>
      <c r="AV33" s="47" t="str">
        <f ca="1">IFERROR((2.66*AVERAGE($AF$26:$AF$2284)),"")</f>
        <v/>
      </c>
      <c r="AW33" s="47"/>
      <c r="AX33" s="47"/>
      <c r="AY33" s="47"/>
      <c r="AZ33" s="47"/>
      <c r="BA33" s="48"/>
      <c r="BB33" s="66"/>
      <c r="BC33" s="29"/>
    </row>
    <row r="34" spans="2:55" x14ac:dyDescent="0.25">
      <c r="B34" s="41">
        <f>IF('Your data source'!B12="",NA(),'Your data source'!B12)</f>
        <v>42705</v>
      </c>
      <c r="C34" s="65">
        <f ca="1">IF('Your data source'!C12="",NA(),'Your data source'!C12)</f>
        <v>46</v>
      </c>
      <c r="D34" s="63"/>
      <c r="E34" s="39"/>
      <c r="F34" s="60"/>
      <c r="G34" s="42">
        <f t="shared" ca="1" si="15"/>
        <v>9</v>
      </c>
      <c r="H34" s="45">
        <f t="shared" ca="1" si="9"/>
        <v>51</v>
      </c>
      <c r="I34" s="36">
        <f t="shared" ca="1" si="10"/>
        <v>0</v>
      </c>
      <c r="J34" s="36">
        <f t="shared" ca="1" si="11"/>
        <v>0</v>
      </c>
      <c r="L34" s="1">
        <f t="shared" ca="1" si="12"/>
        <v>1</v>
      </c>
      <c r="N34" s="21">
        <f t="shared" ca="1" si="13"/>
        <v>46</v>
      </c>
      <c r="O34" s="22" t="str">
        <f t="shared" ca="1" si="0"/>
        <v/>
      </c>
      <c r="P34" s="22" t="str">
        <f t="shared" ca="1" si="0"/>
        <v/>
      </c>
      <c r="Q34" s="22" t="str">
        <f t="shared" ca="1" si="0"/>
        <v/>
      </c>
      <c r="R34" s="22" t="str">
        <f t="shared" ca="1" si="0"/>
        <v/>
      </c>
      <c r="S34" s="22" t="str">
        <f t="shared" ca="1" si="0"/>
        <v/>
      </c>
      <c r="T34" s="22" t="str">
        <f t="shared" ca="1" si="0"/>
        <v/>
      </c>
      <c r="U34" s="22" t="str">
        <f t="shared" ca="1" si="0"/>
        <v/>
      </c>
      <c r="V34" s="22" t="str">
        <f t="shared" ca="1" si="0"/>
        <v/>
      </c>
      <c r="W34" s="23" t="str">
        <f t="shared" ca="1" si="0"/>
        <v/>
      </c>
      <c r="Y34" s="21">
        <f t="shared" ca="1" si="16"/>
        <v>1</v>
      </c>
      <c r="Z34" s="22" t="str">
        <f t="shared" ca="1" si="14"/>
        <v/>
      </c>
      <c r="AA34" s="22" t="str">
        <f t="shared" ca="1" si="14"/>
        <v/>
      </c>
      <c r="AB34" s="22" t="str">
        <f t="shared" ca="1" si="14"/>
        <v/>
      </c>
      <c r="AC34" s="22" t="str">
        <f t="shared" ca="1" si="14"/>
        <v/>
      </c>
      <c r="AD34" s="22" t="str">
        <f t="shared" ca="1" si="14"/>
        <v/>
      </c>
      <c r="AE34" s="22" t="str">
        <f t="shared" ca="1" si="14"/>
        <v/>
      </c>
      <c r="AF34" s="22" t="str">
        <f t="shared" ca="1" si="14"/>
        <v/>
      </c>
      <c r="AG34" s="22" t="str">
        <f t="shared" ca="1" si="14"/>
        <v/>
      </c>
      <c r="AH34" s="23" t="str">
        <f t="shared" ca="1" si="14"/>
        <v/>
      </c>
      <c r="AJ34" s="12">
        <f t="shared" ca="1" si="1"/>
        <v>50.61904761904762</v>
      </c>
      <c r="AK34" s="51">
        <f t="shared" ca="1" si="2"/>
        <v>11.97</v>
      </c>
      <c r="AL34" s="16">
        <f t="shared" ca="1" si="3"/>
        <v>62.589047619047619</v>
      </c>
      <c r="AM34" s="16">
        <f t="shared" ca="1" si="4"/>
        <v>38.649047619047622</v>
      </c>
      <c r="AN34" s="10" t="e">
        <f t="shared" ca="1" si="5"/>
        <v>#N/A</v>
      </c>
      <c r="AO34" s="10" t="e">
        <f t="shared" ca="1" si="6"/>
        <v>#N/A</v>
      </c>
      <c r="AP34" s="10" t="e">
        <f t="shared" ca="1" si="7"/>
        <v>#N/A</v>
      </c>
      <c r="AQ34" s="10" t="e">
        <f t="shared" si="8"/>
        <v>#N/A</v>
      </c>
      <c r="AR34" s="10" t="e">
        <f t="shared" si="8"/>
        <v>#N/A</v>
      </c>
      <c r="AT34" s="3">
        <v>9</v>
      </c>
      <c r="AU34" s="9" t="str">
        <f ca="1">IFERROR(AVERAGE(V26:V2284),"")</f>
        <v/>
      </c>
      <c r="AV34" s="47" t="str">
        <f ca="1">IFERROR((2.66*AVERAGE($AG$26:$AG$2284)),"")</f>
        <v/>
      </c>
      <c r="AW34" s="47"/>
      <c r="AX34" s="47"/>
      <c r="AY34" s="47"/>
      <c r="AZ34" s="47"/>
      <c r="BA34" s="48"/>
      <c r="BB34" s="66"/>
      <c r="BC34" s="29"/>
    </row>
    <row r="35" spans="2:55" x14ac:dyDescent="0.25">
      <c r="B35" s="41">
        <f>IF('Your data source'!B13="",NA(),'Your data source'!B13)</f>
        <v>42736</v>
      </c>
      <c r="C35" s="65">
        <f ca="1">IF('Your data source'!C13="",NA(),'Your data source'!C13)</f>
        <v>44</v>
      </c>
      <c r="D35" s="63"/>
      <c r="E35" s="39"/>
      <c r="F35" s="60"/>
      <c r="G35" s="42">
        <f t="shared" ca="1" si="15"/>
        <v>10</v>
      </c>
      <c r="H35" s="45">
        <f t="shared" ca="1" si="9"/>
        <v>51</v>
      </c>
      <c r="I35" s="36">
        <f t="shared" ca="1" si="10"/>
        <v>0</v>
      </c>
      <c r="J35" s="36">
        <f t="shared" ca="1" si="11"/>
        <v>0</v>
      </c>
      <c r="L35" s="1">
        <f t="shared" ca="1" si="12"/>
        <v>1</v>
      </c>
      <c r="N35" s="21">
        <f t="shared" ca="1" si="13"/>
        <v>44</v>
      </c>
      <c r="O35" s="22" t="str">
        <f t="shared" ca="1" si="0"/>
        <v/>
      </c>
      <c r="P35" s="22" t="str">
        <f t="shared" ca="1" si="0"/>
        <v/>
      </c>
      <c r="Q35" s="22" t="str">
        <f t="shared" ca="1" si="0"/>
        <v/>
      </c>
      <c r="R35" s="22" t="str">
        <f t="shared" ca="1" si="0"/>
        <v/>
      </c>
      <c r="S35" s="22" t="str">
        <f t="shared" ca="1" si="0"/>
        <v/>
      </c>
      <c r="T35" s="22" t="str">
        <f t="shared" ca="1" si="0"/>
        <v/>
      </c>
      <c r="U35" s="22" t="str">
        <f t="shared" ca="1" si="0"/>
        <v/>
      </c>
      <c r="V35" s="22" t="str">
        <f t="shared" ca="1" si="0"/>
        <v/>
      </c>
      <c r="W35" s="23" t="str">
        <f t="shared" ca="1" si="0"/>
        <v/>
      </c>
      <c r="Y35" s="21">
        <f t="shared" ca="1" si="16"/>
        <v>2</v>
      </c>
      <c r="Z35" s="22" t="str">
        <f t="shared" ca="1" si="14"/>
        <v/>
      </c>
      <c r="AA35" s="22" t="str">
        <f t="shared" ca="1" si="14"/>
        <v/>
      </c>
      <c r="AB35" s="22" t="str">
        <f t="shared" ca="1" si="14"/>
        <v/>
      </c>
      <c r="AC35" s="22" t="str">
        <f t="shared" ca="1" si="14"/>
        <v/>
      </c>
      <c r="AD35" s="22" t="str">
        <f t="shared" ca="1" si="14"/>
        <v/>
      </c>
      <c r="AE35" s="22" t="str">
        <f t="shared" ca="1" si="14"/>
        <v/>
      </c>
      <c r="AF35" s="22" t="str">
        <f t="shared" ca="1" si="14"/>
        <v/>
      </c>
      <c r="AG35" s="22" t="str">
        <f t="shared" ca="1" si="14"/>
        <v/>
      </c>
      <c r="AH35" s="23" t="str">
        <f t="shared" ca="1" si="14"/>
        <v/>
      </c>
      <c r="AJ35" s="12">
        <f t="shared" ca="1" si="1"/>
        <v>50.61904761904762</v>
      </c>
      <c r="AK35" s="51">
        <f t="shared" ca="1" si="2"/>
        <v>11.97</v>
      </c>
      <c r="AL35" s="16">
        <f t="shared" ca="1" si="3"/>
        <v>62.589047619047619</v>
      </c>
      <c r="AM35" s="16">
        <f t="shared" ca="1" si="4"/>
        <v>38.649047619047622</v>
      </c>
      <c r="AN35" s="10" t="e">
        <f t="shared" ca="1" si="5"/>
        <v>#N/A</v>
      </c>
      <c r="AO35" s="10" t="e">
        <f t="shared" ca="1" si="6"/>
        <v>#N/A</v>
      </c>
      <c r="AP35" s="10" t="e">
        <f t="shared" ca="1" si="7"/>
        <v>#N/A</v>
      </c>
      <c r="AQ35" s="10" t="e">
        <f t="shared" si="8"/>
        <v>#N/A</v>
      </c>
      <c r="AR35" s="10" t="e">
        <f t="shared" si="8"/>
        <v>#N/A</v>
      </c>
      <c r="AT35" s="4">
        <v>10</v>
      </c>
      <c r="AU35" s="11" t="str">
        <f ca="1">IFERROR(AVERAGE(W26:W2284),"")</f>
        <v/>
      </c>
      <c r="AV35" s="49" t="str">
        <f ca="1">IFERROR((2.66*AVERAGE($AH$26:$AH$2284)),"")</f>
        <v/>
      </c>
      <c r="AW35" s="49"/>
      <c r="AX35" s="49"/>
      <c r="AY35" s="49"/>
      <c r="AZ35" s="49"/>
      <c r="BA35" s="50"/>
      <c r="BB35" s="66"/>
      <c r="BC35" s="29"/>
    </row>
    <row r="36" spans="2:55" x14ac:dyDescent="0.25">
      <c r="B36" s="41">
        <f>IF('Your data source'!B14="",NA(),'Your data source'!B14)</f>
        <v>42767</v>
      </c>
      <c r="C36" s="65">
        <f ca="1">IF('Your data source'!C14="",NA(),'Your data source'!C14)</f>
        <v>52</v>
      </c>
      <c r="D36" s="63"/>
      <c r="E36" s="39"/>
      <c r="F36" s="60"/>
      <c r="G36" s="42">
        <f t="shared" ca="1" si="15"/>
        <v>11</v>
      </c>
      <c r="H36" s="45">
        <f t="shared" ca="1" si="9"/>
        <v>51</v>
      </c>
      <c r="I36" s="36">
        <f t="shared" ca="1" si="10"/>
        <v>0</v>
      </c>
      <c r="J36" s="36">
        <f t="shared" ca="1" si="11"/>
        <v>0</v>
      </c>
      <c r="L36" s="1">
        <f t="shared" ca="1" si="12"/>
        <v>1</v>
      </c>
      <c r="N36" s="21">
        <f t="shared" ca="1" si="13"/>
        <v>52</v>
      </c>
      <c r="O36" s="22" t="str">
        <f t="shared" ca="1" si="0"/>
        <v/>
      </c>
      <c r="P36" s="22" t="str">
        <f t="shared" ca="1" si="0"/>
        <v/>
      </c>
      <c r="Q36" s="22" t="str">
        <f t="shared" ca="1" si="0"/>
        <v/>
      </c>
      <c r="R36" s="22" t="str">
        <f t="shared" ca="1" si="0"/>
        <v/>
      </c>
      <c r="S36" s="22" t="str">
        <f t="shared" ca="1" si="0"/>
        <v/>
      </c>
      <c r="T36" s="22" t="str">
        <f t="shared" ca="1" si="0"/>
        <v/>
      </c>
      <c r="U36" s="22" t="str">
        <f t="shared" ca="1" si="0"/>
        <v/>
      </c>
      <c r="V36" s="22" t="str">
        <f t="shared" ca="1" si="0"/>
        <v/>
      </c>
      <c r="W36" s="23" t="str">
        <f t="shared" ca="1" si="0"/>
        <v/>
      </c>
      <c r="Y36" s="21">
        <f t="shared" ca="1" si="16"/>
        <v>8</v>
      </c>
      <c r="Z36" s="22" t="str">
        <f t="shared" ca="1" si="14"/>
        <v/>
      </c>
      <c r="AA36" s="22" t="str">
        <f t="shared" ca="1" si="14"/>
        <v/>
      </c>
      <c r="AB36" s="22" t="str">
        <f t="shared" ca="1" si="14"/>
        <v/>
      </c>
      <c r="AC36" s="22" t="str">
        <f t="shared" ca="1" si="14"/>
        <v/>
      </c>
      <c r="AD36" s="22" t="str">
        <f t="shared" ca="1" si="14"/>
        <v/>
      </c>
      <c r="AE36" s="22" t="str">
        <f t="shared" ca="1" si="14"/>
        <v/>
      </c>
      <c r="AF36" s="22" t="str">
        <f t="shared" ca="1" si="14"/>
        <v/>
      </c>
      <c r="AG36" s="22" t="str">
        <f t="shared" ca="1" si="14"/>
        <v/>
      </c>
      <c r="AH36" s="23" t="str">
        <f t="shared" ca="1" si="14"/>
        <v/>
      </c>
      <c r="AJ36" s="12">
        <f t="shared" ca="1" si="1"/>
        <v>50.61904761904762</v>
      </c>
      <c r="AK36" s="51">
        <f t="shared" ca="1" si="2"/>
        <v>11.97</v>
      </c>
      <c r="AL36" s="16">
        <f t="shared" ca="1" si="3"/>
        <v>62.589047619047619</v>
      </c>
      <c r="AM36" s="16">
        <f t="shared" ca="1" si="4"/>
        <v>38.649047619047622</v>
      </c>
      <c r="AN36" s="10" t="e">
        <f t="shared" ca="1" si="5"/>
        <v>#N/A</v>
      </c>
      <c r="AO36" s="10" t="e">
        <f t="shared" ca="1" si="6"/>
        <v>#N/A</v>
      </c>
      <c r="AP36" s="10" t="e">
        <f t="shared" ca="1" si="7"/>
        <v>#N/A</v>
      </c>
      <c r="AQ36" s="10" t="e">
        <f t="shared" si="8"/>
        <v>#N/A</v>
      </c>
      <c r="AR36" s="10" t="e">
        <f t="shared" si="8"/>
        <v>#N/A</v>
      </c>
      <c r="BB36" s="57"/>
      <c r="BC36" s="29"/>
    </row>
    <row r="37" spans="2:55" x14ac:dyDescent="0.25">
      <c r="B37" s="41">
        <f>IF('Your data source'!B15="",NA(),'Your data source'!B15)</f>
        <v>42795</v>
      </c>
      <c r="C37" s="65">
        <f ca="1">IF('Your data source'!C15="",NA(),'Your data source'!C15)</f>
        <v>54</v>
      </c>
      <c r="D37" s="63"/>
      <c r="E37" s="39"/>
      <c r="F37" s="60"/>
      <c r="G37" s="42">
        <f t="shared" ca="1" si="15"/>
        <v>12</v>
      </c>
      <c r="H37" s="45">
        <f t="shared" ca="1" si="9"/>
        <v>51</v>
      </c>
      <c r="I37" s="36">
        <f t="shared" ca="1" si="10"/>
        <v>0</v>
      </c>
      <c r="J37" s="36">
        <f t="shared" ca="1" si="11"/>
        <v>0</v>
      </c>
      <c r="L37" s="1">
        <f t="shared" ca="1" si="12"/>
        <v>1</v>
      </c>
      <c r="N37" s="21">
        <f t="shared" ca="1" si="13"/>
        <v>54</v>
      </c>
      <c r="O37" s="22" t="str">
        <f t="shared" ca="1" si="0"/>
        <v/>
      </c>
      <c r="P37" s="22" t="str">
        <f t="shared" ca="1" si="0"/>
        <v/>
      </c>
      <c r="Q37" s="22" t="str">
        <f t="shared" ca="1" si="0"/>
        <v/>
      </c>
      <c r="R37" s="22" t="str">
        <f t="shared" ca="1" si="0"/>
        <v/>
      </c>
      <c r="S37" s="22" t="str">
        <f t="shared" ca="1" si="0"/>
        <v/>
      </c>
      <c r="T37" s="22" t="str">
        <f t="shared" ca="1" si="0"/>
        <v/>
      </c>
      <c r="U37" s="22" t="str">
        <f t="shared" ca="1" si="0"/>
        <v/>
      </c>
      <c r="V37" s="22" t="str">
        <f t="shared" ca="1" si="0"/>
        <v/>
      </c>
      <c r="W37" s="23" t="str">
        <f t="shared" ca="1" si="0"/>
        <v/>
      </c>
      <c r="Y37" s="21">
        <f t="shared" ca="1" si="16"/>
        <v>2</v>
      </c>
      <c r="Z37" s="22" t="str">
        <f t="shared" ca="1" si="14"/>
        <v/>
      </c>
      <c r="AA37" s="22" t="str">
        <f t="shared" ca="1" si="14"/>
        <v/>
      </c>
      <c r="AB37" s="22" t="str">
        <f t="shared" ca="1" si="14"/>
        <v/>
      </c>
      <c r="AC37" s="22" t="str">
        <f t="shared" ca="1" si="14"/>
        <v/>
      </c>
      <c r="AD37" s="22" t="str">
        <f t="shared" ca="1" si="14"/>
        <v/>
      </c>
      <c r="AE37" s="22" t="str">
        <f t="shared" ca="1" si="14"/>
        <v/>
      </c>
      <c r="AF37" s="22" t="str">
        <f t="shared" ca="1" si="14"/>
        <v/>
      </c>
      <c r="AG37" s="22" t="str">
        <f t="shared" ca="1" si="14"/>
        <v/>
      </c>
      <c r="AH37" s="23" t="str">
        <f t="shared" ca="1" si="14"/>
        <v/>
      </c>
      <c r="AJ37" s="12">
        <f t="shared" ca="1" si="1"/>
        <v>50.61904761904762</v>
      </c>
      <c r="AK37" s="51">
        <f t="shared" ca="1" si="2"/>
        <v>11.97</v>
      </c>
      <c r="AL37" s="16">
        <f t="shared" ca="1" si="3"/>
        <v>62.589047619047619</v>
      </c>
      <c r="AM37" s="16">
        <f t="shared" ca="1" si="4"/>
        <v>38.649047619047622</v>
      </c>
      <c r="AN37" s="10" t="e">
        <f t="shared" ca="1" si="5"/>
        <v>#N/A</v>
      </c>
      <c r="AO37" s="10" t="e">
        <f t="shared" ca="1" si="6"/>
        <v>#N/A</v>
      </c>
      <c r="AP37" s="10" t="e">
        <f t="shared" ca="1" si="7"/>
        <v>#N/A</v>
      </c>
      <c r="AQ37" s="10" t="e">
        <f t="shared" si="8"/>
        <v>#N/A</v>
      </c>
      <c r="AR37" s="10" t="e">
        <f t="shared" si="8"/>
        <v>#N/A</v>
      </c>
      <c r="BC37" s="29"/>
    </row>
    <row r="38" spans="2:55" x14ac:dyDescent="0.25">
      <c r="B38" s="41">
        <f>IF('Your data source'!B16="",NA(),'Your data source'!B16)</f>
        <v>42826</v>
      </c>
      <c r="C38" s="65">
        <f ca="1">IF('Your data source'!C16="",NA(),'Your data source'!C16)</f>
        <v>54</v>
      </c>
      <c r="D38" s="63"/>
      <c r="E38" s="39"/>
      <c r="F38" s="60"/>
      <c r="G38" s="42">
        <f t="shared" ca="1" si="15"/>
        <v>13</v>
      </c>
      <c r="H38" s="45">
        <f t="shared" ca="1" si="9"/>
        <v>51</v>
      </c>
      <c r="I38" s="36">
        <f t="shared" ca="1" si="10"/>
        <v>0</v>
      </c>
      <c r="J38" s="36">
        <f t="shared" ca="1" si="11"/>
        <v>0</v>
      </c>
      <c r="L38" s="1">
        <f t="shared" ca="1" si="12"/>
        <v>1</v>
      </c>
      <c r="N38" s="21">
        <f t="shared" ca="1" si="13"/>
        <v>54</v>
      </c>
      <c r="O38" s="22" t="str">
        <f t="shared" ca="1" si="0"/>
        <v/>
      </c>
      <c r="P38" s="22" t="str">
        <f t="shared" ca="1" si="0"/>
        <v/>
      </c>
      <c r="Q38" s="22" t="str">
        <f t="shared" ca="1" si="0"/>
        <v/>
      </c>
      <c r="R38" s="22" t="str">
        <f t="shared" ca="1" si="0"/>
        <v/>
      </c>
      <c r="S38" s="22" t="str">
        <f t="shared" ca="1" si="0"/>
        <v/>
      </c>
      <c r="T38" s="22" t="str">
        <f t="shared" ca="1" si="0"/>
        <v/>
      </c>
      <c r="U38" s="22" t="str">
        <f t="shared" ca="1" si="0"/>
        <v/>
      </c>
      <c r="V38" s="22" t="str">
        <f t="shared" ca="1" si="0"/>
        <v/>
      </c>
      <c r="W38" s="23" t="str">
        <f t="shared" ca="1" si="0"/>
        <v/>
      </c>
      <c r="Y38" s="21">
        <f t="shared" ca="1" si="16"/>
        <v>0</v>
      </c>
      <c r="Z38" s="22" t="str">
        <f t="shared" ca="1" si="14"/>
        <v/>
      </c>
      <c r="AA38" s="22" t="str">
        <f t="shared" ca="1" si="14"/>
        <v/>
      </c>
      <c r="AB38" s="22" t="str">
        <f t="shared" ca="1" si="14"/>
        <v/>
      </c>
      <c r="AC38" s="22" t="str">
        <f t="shared" ca="1" si="14"/>
        <v/>
      </c>
      <c r="AD38" s="22" t="str">
        <f t="shared" ca="1" si="14"/>
        <v/>
      </c>
      <c r="AE38" s="22" t="str">
        <f t="shared" ca="1" si="14"/>
        <v/>
      </c>
      <c r="AF38" s="22" t="str">
        <f t="shared" ca="1" si="14"/>
        <v/>
      </c>
      <c r="AG38" s="22" t="str">
        <f t="shared" ca="1" si="14"/>
        <v/>
      </c>
      <c r="AH38" s="23" t="str">
        <f t="shared" ca="1" si="14"/>
        <v/>
      </c>
      <c r="AJ38" s="12">
        <f t="shared" ca="1" si="1"/>
        <v>50.61904761904762</v>
      </c>
      <c r="AK38" s="51">
        <f t="shared" ca="1" si="2"/>
        <v>11.97</v>
      </c>
      <c r="AL38" s="16">
        <f t="shared" ca="1" si="3"/>
        <v>62.589047619047619</v>
      </c>
      <c r="AM38" s="16">
        <f t="shared" ca="1" si="4"/>
        <v>38.649047619047622</v>
      </c>
      <c r="AN38" s="10" t="e">
        <f t="shared" ca="1" si="5"/>
        <v>#N/A</v>
      </c>
      <c r="AO38" s="10" t="e">
        <f t="shared" ca="1" si="6"/>
        <v>#N/A</v>
      </c>
      <c r="AP38" s="10" t="e">
        <f t="shared" ca="1" si="7"/>
        <v>#N/A</v>
      </c>
      <c r="AQ38" s="10" t="e">
        <f t="shared" si="8"/>
        <v>#N/A</v>
      </c>
      <c r="AR38" s="10" t="e">
        <f t="shared" si="8"/>
        <v>#N/A</v>
      </c>
      <c r="BC38" s="29"/>
    </row>
    <row r="39" spans="2:55" x14ac:dyDescent="0.25">
      <c r="B39" s="41">
        <f>IF('Your data source'!B17="",NA(),'Your data source'!B17)</f>
        <v>42856</v>
      </c>
      <c r="C39" s="65">
        <f ca="1">IF('Your data source'!C17="",NA(),'Your data source'!C17)</f>
        <v>49</v>
      </c>
      <c r="D39" s="63"/>
      <c r="E39" s="39"/>
      <c r="F39" s="60"/>
      <c r="G39" s="42">
        <f t="shared" ca="1" si="15"/>
        <v>14</v>
      </c>
      <c r="H39" s="45">
        <f t="shared" ca="1" si="9"/>
        <v>51</v>
      </c>
      <c r="I39" s="36">
        <f t="shared" ca="1" si="10"/>
        <v>0</v>
      </c>
      <c r="J39" s="36">
        <f t="shared" ca="1" si="11"/>
        <v>0</v>
      </c>
      <c r="L39" s="1">
        <f t="shared" ca="1" si="12"/>
        <v>1</v>
      </c>
      <c r="N39" s="21">
        <f t="shared" ca="1" si="13"/>
        <v>49</v>
      </c>
      <c r="O39" s="22" t="str">
        <f t="shared" ca="1" si="0"/>
        <v/>
      </c>
      <c r="P39" s="22" t="str">
        <f t="shared" ca="1" si="0"/>
        <v/>
      </c>
      <c r="Q39" s="22" t="str">
        <f t="shared" ca="1" si="0"/>
        <v/>
      </c>
      <c r="R39" s="22" t="str">
        <f t="shared" ca="1" si="0"/>
        <v/>
      </c>
      <c r="S39" s="22" t="str">
        <f t="shared" ca="1" si="0"/>
        <v/>
      </c>
      <c r="T39" s="22" t="str">
        <f t="shared" ca="1" si="0"/>
        <v/>
      </c>
      <c r="U39" s="22" t="str">
        <f t="shared" ca="1" si="0"/>
        <v/>
      </c>
      <c r="V39" s="22" t="str">
        <f t="shared" ca="1" si="0"/>
        <v/>
      </c>
      <c r="W39" s="23" t="str">
        <f t="shared" ca="1" si="0"/>
        <v/>
      </c>
      <c r="Y39" s="21">
        <f t="shared" ca="1" si="16"/>
        <v>5</v>
      </c>
      <c r="Z39" s="22" t="str">
        <f t="shared" ca="1" si="14"/>
        <v/>
      </c>
      <c r="AA39" s="22" t="str">
        <f t="shared" ca="1" si="14"/>
        <v/>
      </c>
      <c r="AB39" s="22" t="str">
        <f t="shared" ca="1" si="14"/>
        <v/>
      </c>
      <c r="AC39" s="22" t="str">
        <f t="shared" ca="1" si="14"/>
        <v/>
      </c>
      <c r="AD39" s="22" t="str">
        <f t="shared" ca="1" si="14"/>
        <v/>
      </c>
      <c r="AE39" s="22" t="str">
        <f t="shared" ca="1" si="14"/>
        <v/>
      </c>
      <c r="AF39" s="22" t="str">
        <f t="shared" ca="1" si="14"/>
        <v/>
      </c>
      <c r="AG39" s="22" t="str">
        <f t="shared" ca="1" si="14"/>
        <v/>
      </c>
      <c r="AH39" s="23" t="str">
        <f t="shared" ca="1" si="14"/>
        <v/>
      </c>
      <c r="AJ39" s="12">
        <f t="shared" ca="1" si="1"/>
        <v>50.61904761904762</v>
      </c>
      <c r="AK39" s="51">
        <f t="shared" ca="1" si="2"/>
        <v>11.97</v>
      </c>
      <c r="AL39" s="16">
        <f t="shared" ca="1" si="3"/>
        <v>62.589047619047619</v>
      </c>
      <c r="AM39" s="16">
        <f t="shared" ca="1" si="4"/>
        <v>38.649047619047622</v>
      </c>
      <c r="AN39" s="10" t="e">
        <f t="shared" ca="1" si="5"/>
        <v>#N/A</v>
      </c>
      <c r="AO39" s="10" t="e">
        <f t="shared" ca="1" si="6"/>
        <v>#N/A</v>
      </c>
      <c r="AP39" s="10" t="e">
        <f t="shared" ca="1" si="7"/>
        <v>#N/A</v>
      </c>
      <c r="AQ39" s="10" t="e">
        <f t="shared" si="8"/>
        <v>#N/A</v>
      </c>
      <c r="AR39" s="10" t="e">
        <f t="shared" si="8"/>
        <v>#N/A</v>
      </c>
      <c r="BC39" s="29"/>
    </row>
    <row r="40" spans="2:55" x14ac:dyDescent="0.25">
      <c r="B40" s="41">
        <f>IF('Your data source'!B18="",NA(),'Your data source'!B18)</f>
        <v>42887</v>
      </c>
      <c r="C40" s="65">
        <f ca="1">IF('Your data source'!C18="",NA(),'Your data source'!C18)</f>
        <v>50</v>
      </c>
      <c r="D40" s="63"/>
      <c r="E40" s="39"/>
      <c r="F40" s="60"/>
      <c r="G40" s="42">
        <f t="shared" ca="1" si="15"/>
        <v>15</v>
      </c>
      <c r="H40" s="45">
        <f t="shared" ca="1" si="9"/>
        <v>51</v>
      </c>
      <c r="I40" s="36">
        <f t="shared" ca="1" si="10"/>
        <v>0</v>
      </c>
      <c r="J40" s="36">
        <f t="shared" ca="1" si="11"/>
        <v>0</v>
      </c>
      <c r="L40" s="1">
        <f t="shared" ca="1" si="12"/>
        <v>1</v>
      </c>
      <c r="N40" s="21">
        <f t="shared" ca="1" si="13"/>
        <v>50</v>
      </c>
      <c r="O40" s="22" t="str">
        <f t="shared" ca="1" si="0"/>
        <v/>
      </c>
      <c r="P40" s="22" t="str">
        <f t="shared" ca="1" si="0"/>
        <v/>
      </c>
      <c r="Q40" s="22" t="str">
        <f t="shared" ca="1" si="0"/>
        <v/>
      </c>
      <c r="R40" s="22" t="str">
        <f t="shared" ca="1" si="0"/>
        <v/>
      </c>
      <c r="S40" s="22" t="str">
        <f t="shared" ca="1" si="0"/>
        <v/>
      </c>
      <c r="T40" s="22" t="str">
        <f t="shared" ca="1" si="0"/>
        <v/>
      </c>
      <c r="U40" s="22" t="str">
        <f t="shared" ca="1" si="0"/>
        <v/>
      </c>
      <c r="V40" s="22" t="str">
        <f t="shared" ca="1" si="0"/>
        <v/>
      </c>
      <c r="W40" s="23" t="str">
        <f t="shared" ca="1" si="0"/>
        <v/>
      </c>
      <c r="Y40" s="21">
        <f t="shared" ca="1" si="16"/>
        <v>1</v>
      </c>
      <c r="Z40" s="22" t="str">
        <f t="shared" ca="1" si="14"/>
        <v/>
      </c>
      <c r="AA40" s="22" t="str">
        <f t="shared" ca="1" si="14"/>
        <v/>
      </c>
      <c r="AB40" s="22" t="str">
        <f t="shared" ca="1" si="14"/>
        <v/>
      </c>
      <c r="AC40" s="22" t="str">
        <f t="shared" ca="1" si="14"/>
        <v/>
      </c>
      <c r="AD40" s="22" t="str">
        <f t="shared" ca="1" si="14"/>
        <v/>
      </c>
      <c r="AE40" s="22" t="str">
        <f t="shared" ca="1" si="14"/>
        <v/>
      </c>
      <c r="AF40" s="22" t="str">
        <f t="shared" ca="1" si="14"/>
        <v/>
      </c>
      <c r="AG40" s="22" t="str">
        <f t="shared" ca="1" si="14"/>
        <v/>
      </c>
      <c r="AH40" s="23" t="str">
        <f t="shared" ca="1" si="14"/>
        <v/>
      </c>
      <c r="AJ40" s="12">
        <f t="shared" ca="1" si="1"/>
        <v>50.61904761904762</v>
      </c>
      <c r="AK40" s="51">
        <f t="shared" ca="1" si="2"/>
        <v>11.97</v>
      </c>
      <c r="AL40" s="16">
        <f t="shared" ca="1" si="3"/>
        <v>62.589047619047619</v>
      </c>
      <c r="AM40" s="16">
        <f t="shared" ca="1" si="4"/>
        <v>38.649047619047622</v>
      </c>
      <c r="AN40" s="10" t="e">
        <f t="shared" ca="1" si="5"/>
        <v>#N/A</v>
      </c>
      <c r="AO40" s="10" t="e">
        <f t="shared" ca="1" si="6"/>
        <v>#N/A</v>
      </c>
      <c r="AP40" s="10" t="e">
        <f t="shared" ca="1" si="7"/>
        <v>#N/A</v>
      </c>
      <c r="AQ40" s="10" t="e">
        <f t="shared" si="8"/>
        <v>#N/A</v>
      </c>
      <c r="AR40" s="10" t="e">
        <f t="shared" si="8"/>
        <v>#N/A</v>
      </c>
      <c r="BC40" s="29"/>
    </row>
    <row r="41" spans="2:55" x14ac:dyDescent="0.25">
      <c r="B41" s="41">
        <f>IF('Your data source'!B19="",NA(),'Your data source'!B19)</f>
        <v>42917</v>
      </c>
      <c r="C41" s="65">
        <f ca="1">IF('Your data source'!C19="",NA(),'Your data source'!C19)</f>
        <v>44</v>
      </c>
      <c r="D41" s="63"/>
      <c r="E41" s="39"/>
      <c r="F41" s="60"/>
      <c r="G41" s="42">
        <f t="shared" ca="1" si="15"/>
        <v>16</v>
      </c>
      <c r="H41" s="45">
        <f t="shared" ca="1" si="9"/>
        <v>51</v>
      </c>
      <c r="I41" s="36">
        <f t="shared" ca="1" si="10"/>
        <v>0</v>
      </c>
      <c r="J41" s="36">
        <f t="shared" ca="1" si="11"/>
        <v>0</v>
      </c>
      <c r="L41" s="1">
        <f t="shared" ca="1" si="12"/>
        <v>1</v>
      </c>
      <c r="N41" s="21">
        <f t="shared" ca="1" si="13"/>
        <v>44</v>
      </c>
      <c r="O41" s="22" t="str">
        <f t="shared" ca="1" si="0"/>
        <v/>
      </c>
      <c r="P41" s="22" t="str">
        <f t="shared" ca="1" si="0"/>
        <v/>
      </c>
      <c r="Q41" s="22" t="str">
        <f t="shared" ca="1" si="0"/>
        <v/>
      </c>
      <c r="R41" s="22" t="str">
        <f t="shared" ca="1" si="0"/>
        <v/>
      </c>
      <c r="S41" s="22" t="str">
        <f t="shared" ca="1" si="0"/>
        <v/>
      </c>
      <c r="T41" s="22" t="str">
        <f t="shared" ca="1" si="0"/>
        <v/>
      </c>
      <c r="U41" s="22" t="str">
        <f t="shared" ca="1" si="0"/>
        <v/>
      </c>
      <c r="V41" s="22" t="str">
        <f t="shared" ca="1" si="0"/>
        <v/>
      </c>
      <c r="W41" s="23" t="str">
        <f t="shared" ca="1" si="0"/>
        <v/>
      </c>
      <c r="Y41" s="21">
        <f t="shared" ca="1" si="16"/>
        <v>6</v>
      </c>
      <c r="Z41" s="22" t="str">
        <f t="shared" ca="1" si="14"/>
        <v/>
      </c>
      <c r="AA41" s="22" t="str">
        <f t="shared" ca="1" si="14"/>
        <v/>
      </c>
      <c r="AB41" s="22" t="str">
        <f t="shared" ca="1" si="14"/>
        <v/>
      </c>
      <c r="AC41" s="22" t="str">
        <f t="shared" ca="1" si="14"/>
        <v/>
      </c>
      <c r="AD41" s="22" t="str">
        <f t="shared" ca="1" si="14"/>
        <v/>
      </c>
      <c r="AE41" s="22" t="str">
        <f t="shared" ca="1" si="14"/>
        <v/>
      </c>
      <c r="AF41" s="22" t="str">
        <f t="shared" ca="1" si="14"/>
        <v/>
      </c>
      <c r="AG41" s="22" t="str">
        <f t="shared" ca="1" si="14"/>
        <v/>
      </c>
      <c r="AH41" s="23" t="str">
        <f t="shared" ca="1" si="14"/>
        <v/>
      </c>
      <c r="AJ41" s="12">
        <f t="shared" ca="1" si="1"/>
        <v>50.61904761904762</v>
      </c>
      <c r="AK41" s="51">
        <f t="shared" ca="1" si="2"/>
        <v>11.97</v>
      </c>
      <c r="AL41" s="16">
        <f t="shared" ca="1" si="3"/>
        <v>62.589047619047619</v>
      </c>
      <c r="AM41" s="16">
        <f t="shared" ca="1" si="4"/>
        <v>38.649047619047622</v>
      </c>
      <c r="AN41" s="10" t="e">
        <f t="shared" ca="1" si="5"/>
        <v>#N/A</v>
      </c>
      <c r="AO41" s="10" t="e">
        <f t="shared" ca="1" si="6"/>
        <v>#N/A</v>
      </c>
      <c r="AP41" s="10" t="e">
        <f t="shared" ca="1" si="7"/>
        <v>#N/A</v>
      </c>
      <c r="AQ41" s="10" t="e">
        <f t="shared" si="8"/>
        <v>#N/A</v>
      </c>
      <c r="AR41" s="10" t="e">
        <f t="shared" si="8"/>
        <v>#N/A</v>
      </c>
      <c r="BB41" s="56"/>
      <c r="BC41" s="29"/>
    </row>
    <row r="42" spans="2:55" x14ac:dyDescent="0.25">
      <c r="B42" s="41">
        <f>IF('Your data source'!B20="",NA(),'Your data source'!B20)</f>
        <v>42948</v>
      </c>
      <c r="C42" s="65">
        <f ca="1">IF('Your data source'!C20="",NA(),'Your data source'!C20)</f>
        <v>46</v>
      </c>
      <c r="D42" s="63"/>
      <c r="E42" s="39"/>
      <c r="F42" s="60"/>
      <c r="G42" s="42">
        <f t="shared" ca="1" si="15"/>
        <v>17</v>
      </c>
      <c r="H42" s="45">
        <f t="shared" ca="1" si="9"/>
        <v>51</v>
      </c>
      <c r="I42" s="36">
        <f t="shared" ca="1" si="10"/>
        <v>0</v>
      </c>
      <c r="J42" s="36">
        <f t="shared" ca="1" si="11"/>
        <v>0</v>
      </c>
      <c r="L42" s="1">
        <f t="shared" ca="1" si="12"/>
        <v>1</v>
      </c>
      <c r="N42" s="21">
        <f t="shared" ca="1" si="13"/>
        <v>46</v>
      </c>
      <c r="O42" s="22" t="str">
        <f t="shared" ca="1" si="13"/>
        <v/>
      </c>
      <c r="P42" s="22" t="str">
        <f t="shared" ca="1" si="13"/>
        <v/>
      </c>
      <c r="Q42" s="22" t="str">
        <f t="shared" ca="1" si="13"/>
        <v/>
      </c>
      <c r="R42" s="22" t="str">
        <f t="shared" ca="1" si="13"/>
        <v/>
      </c>
      <c r="S42" s="22" t="str">
        <f t="shared" ca="1" si="13"/>
        <v/>
      </c>
      <c r="T42" s="22" t="str">
        <f t="shared" ca="1" si="13"/>
        <v/>
      </c>
      <c r="U42" s="22" t="str">
        <f t="shared" ca="1" si="13"/>
        <v/>
      </c>
      <c r="V42" s="22" t="str">
        <f t="shared" ca="1" si="13"/>
        <v/>
      </c>
      <c r="W42" s="23" t="str">
        <f t="shared" ca="1" si="13"/>
        <v/>
      </c>
      <c r="Y42" s="21">
        <f t="shared" ca="1" si="16"/>
        <v>2</v>
      </c>
      <c r="Z42" s="22" t="str">
        <f t="shared" ca="1" si="14"/>
        <v/>
      </c>
      <c r="AA42" s="22" t="str">
        <f t="shared" ca="1" si="14"/>
        <v/>
      </c>
      <c r="AB42" s="22" t="str">
        <f t="shared" ca="1" si="14"/>
        <v/>
      </c>
      <c r="AC42" s="22" t="str">
        <f t="shared" ca="1" si="14"/>
        <v/>
      </c>
      <c r="AD42" s="22" t="str">
        <f t="shared" ca="1" si="14"/>
        <v/>
      </c>
      <c r="AE42" s="22" t="str">
        <f t="shared" ca="1" si="14"/>
        <v/>
      </c>
      <c r="AF42" s="22" t="str">
        <f t="shared" ca="1" si="14"/>
        <v/>
      </c>
      <c r="AG42" s="22" t="str">
        <f t="shared" ca="1" si="14"/>
        <v/>
      </c>
      <c r="AH42" s="23" t="str">
        <f t="shared" ca="1" si="14"/>
        <v/>
      </c>
      <c r="AJ42" s="12">
        <f t="shared" ca="1" si="1"/>
        <v>50.61904761904762</v>
      </c>
      <c r="AK42" s="51">
        <f t="shared" ca="1" si="2"/>
        <v>11.97</v>
      </c>
      <c r="AL42" s="16">
        <f t="shared" ca="1" si="3"/>
        <v>62.589047619047619</v>
      </c>
      <c r="AM42" s="16">
        <f t="shared" ca="1" si="4"/>
        <v>38.649047619047622</v>
      </c>
      <c r="AN42" s="10" t="e">
        <f t="shared" ca="1" si="5"/>
        <v>#N/A</v>
      </c>
      <c r="AO42" s="10" t="e">
        <f t="shared" ca="1" si="6"/>
        <v>#N/A</v>
      </c>
      <c r="AP42" s="10" t="e">
        <f t="shared" ca="1" si="7"/>
        <v>#N/A</v>
      </c>
      <c r="AQ42" s="10" t="e">
        <f t="shared" si="8"/>
        <v>#N/A</v>
      </c>
      <c r="AR42" s="10" t="e">
        <f t="shared" si="8"/>
        <v>#N/A</v>
      </c>
      <c r="BB42" s="56"/>
      <c r="BC42" s="29"/>
    </row>
    <row r="43" spans="2:55" x14ac:dyDescent="0.25">
      <c r="B43" s="41">
        <f>IF('Your data source'!B21="",NA(),'Your data source'!B21)</f>
        <v>42979</v>
      </c>
      <c r="C43" s="65">
        <f ca="1">IF('Your data source'!C21="",NA(),'Your data source'!C21)</f>
        <v>58</v>
      </c>
      <c r="D43" s="63"/>
      <c r="E43" s="39"/>
      <c r="F43" s="60"/>
      <c r="G43" s="42">
        <f t="shared" ca="1" si="15"/>
        <v>18</v>
      </c>
      <c r="H43" s="45">
        <f t="shared" ca="1" si="9"/>
        <v>51</v>
      </c>
      <c r="I43" s="36">
        <f t="shared" ca="1" si="10"/>
        <v>0</v>
      </c>
      <c r="J43" s="36">
        <f t="shared" ca="1" si="11"/>
        <v>0</v>
      </c>
      <c r="L43" s="1">
        <f t="shared" ca="1" si="12"/>
        <v>1</v>
      </c>
      <c r="N43" s="21">
        <f t="shared" ref="N43:W58" ca="1" si="17">IF(ISNUMBER($C43),IF($G43&lt;=$C$9,IF($L43=N$25,$C43,""),IF(COUNT(INDIRECT(ADDRESS(ROW(N$26),COLUMN())&amp;":"&amp;ADDRESS(ROW()-1,COLUMN())))&gt;$C$13,"",IF($L43=N$25,$C43,""))),"")</f>
        <v>58</v>
      </c>
      <c r="O43" s="22" t="str">
        <f t="shared" ca="1" si="17"/>
        <v/>
      </c>
      <c r="P43" s="22" t="str">
        <f t="shared" ca="1" si="17"/>
        <v/>
      </c>
      <c r="Q43" s="22" t="str">
        <f t="shared" ca="1" si="17"/>
        <v/>
      </c>
      <c r="R43" s="22" t="str">
        <f t="shared" ca="1" si="17"/>
        <v/>
      </c>
      <c r="S43" s="22" t="str">
        <f t="shared" ca="1" si="17"/>
        <v/>
      </c>
      <c r="T43" s="22" t="str">
        <f t="shared" ca="1" si="17"/>
        <v/>
      </c>
      <c r="U43" s="22" t="str">
        <f t="shared" ca="1" si="17"/>
        <v/>
      </c>
      <c r="V43" s="22" t="str">
        <f t="shared" ca="1" si="17"/>
        <v/>
      </c>
      <c r="W43" s="23" t="str">
        <f t="shared" ca="1" si="17"/>
        <v/>
      </c>
      <c r="Y43" s="21">
        <f t="shared" ca="1" si="16"/>
        <v>12</v>
      </c>
      <c r="Z43" s="22" t="str">
        <f t="shared" ca="1" si="16"/>
        <v/>
      </c>
      <c r="AA43" s="22" t="str">
        <f t="shared" ca="1" si="16"/>
        <v/>
      </c>
      <c r="AB43" s="22" t="str">
        <f t="shared" ca="1" si="16"/>
        <v/>
      </c>
      <c r="AC43" s="22" t="str">
        <f t="shared" ca="1" si="16"/>
        <v/>
      </c>
      <c r="AD43" s="22" t="str">
        <f t="shared" ca="1" si="16"/>
        <v/>
      </c>
      <c r="AE43" s="22" t="str">
        <f t="shared" ca="1" si="16"/>
        <v/>
      </c>
      <c r="AF43" s="22" t="str">
        <f t="shared" ca="1" si="16"/>
        <v/>
      </c>
      <c r="AG43" s="22" t="str">
        <f t="shared" ca="1" si="16"/>
        <v/>
      </c>
      <c r="AH43" s="23" t="str">
        <f t="shared" ca="1" si="16"/>
        <v/>
      </c>
      <c r="AJ43" s="12">
        <f t="shared" ca="1" si="1"/>
        <v>50.61904761904762</v>
      </c>
      <c r="AK43" s="51">
        <f t="shared" ca="1" si="2"/>
        <v>11.97</v>
      </c>
      <c r="AL43" s="16">
        <f t="shared" ca="1" si="3"/>
        <v>62.589047619047619</v>
      </c>
      <c r="AM43" s="16">
        <f t="shared" ca="1" si="4"/>
        <v>38.649047619047622</v>
      </c>
      <c r="AN43" s="10" t="e">
        <f t="shared" ca="1" si="5"/>
        <v>#N/A</v>
      </c>
      <c r="AO43" s="10" t="e">
        <f t="shared" ca="1" si="6"/>
        <v>#N/A</v>
      </c>
      <c r="AP43" s="10" t="e">
        <f t="shared" ca="1" si="7"/>
        <v>#N/A</v>
      </c>
      <c r="AQ43" s="10" t="e">
        <f t="shared" si="8"/>
        <v>#N/A</v>
      </c>
      <c r="AR43" s="10" t="e">
        <f t="shared" si="8"/>
        <v>#N/A</v>
      </c>
      <c r="BB43" s="56"/>
      <c r="BC43" s="29"/>
    </row>
    <row r="44" spans="2:55" x14ac:dyDescent="0.25">
      <c r="B44" s="41">
        <f>IF('Your data source'!B22="",NA(),'Your data source'!B22)</f>
        <v>43009</v>
      </c>
      <c r="C44" s="65">
        <f ca="1">IF('Your data source'!C22="",NA(),'Your data source'!C22)</f>
        <v>53</v>
      </c>
      <c r="D44" s="63"/>
      <c r="E44" s="39"/>
      <c r="F44" s="60"/>
      <c r="G44" s="42">
        <f t="shared" ca="1" si="15"/>
        <v>19</v>
      </c>
      <c r="H44" s="45">
        <f t="shared" ca="1" si="9"/>
        <v>51</v>
      </c>
      <c r="I44" s="36">
        <f t="shared" ca="1" si="10"/>
        <v>0</v>
      </c>
      <c r="J44" s="36">
        <f t="shared" ca="1" si="11"/>
        <v>0</v>
      </c>
      <c r="L44" s="1">
        <f t="shared" ca="1" si="12"/>
        <v>1</v>
      </c>
      <c r="N44" s="21">
        <f t="shared" ca="1" si="17"/>
        <v>53</v>
      </c>
      <c r="O44" s="22" t="str">
        <f t="shared" ca="1" si="17"/>
        <v/>
      </c>
      <c r="P44" s="22" t="str">
        <f t="shared" ca="1" si="17"/>
        <v/>
      </c>
      <c r="Q44" s="22" t="str">
        <f t="shared" ca="1" si="17"/>
        <v/>
      </c>
      <c r="R44" s="22" t="str">
        <f t="shared" ca="1" si="17"/>
        <v/>
      </c>
      <c r="S44" s="22" t="str">
        <f t="shared" ca="1" si="17"/>
        <v/>
      </c>
      <c r="T44" s="22" t="str">
        <f t="shared" ca="1" si="17"/>
        <v/>
      </c>
      <c r="U44" s="22" t="str">
        <f t="shared" ca="1" si="17"/>
        <v/>
      </c>
      <c r="V44" s="22" t="str">
        <f t="shared" ca="1" si="17"/>
        <v/>
      </c>
      <c r="W44" s="23" t="str">
        <f t="shared" ca="1" si="17"/>
        <v/>
      </c>
      <c r="Y44" s="21">
        <f t="shared" ca="1" si="16"/>
        <v>5</v>
      </c>
      <c r="Z44" s="22" t="str">
        <f t="shared" ca="1" si="16"/>
        <v/>
      </c>
      <c r="AA44" s="22" t="str">
        <f t="shared" ca="1" si="16"/>
        <v/>
      </c>
      <c r="AB44" s="22" t="str">
        <f t="shared" ca="1" si="16"/>
        <v/>
      </c>
      <c r="AC44" s="22" t="str">
        <f t="shared" ca="1" si="16"/>
        <v/>
      </c>
      <c r="AD44" s="22" t="str">
        <f t="shared" ca="1" si="16"/>
        <v/>
      </c>
      <c r="AE44" s="22" t="str">
        <f t="shared" ca="1" si="16"/>
        <v/>
      </c>
      <c r="AF44" s="22" t="str">
        <f t="shared" ca="1" si="16"/>
        <v/>
      </c>
      <c r="AG44" s="22" t="str">
        <f t="shared" ca="1" si="16"/>
        <v/>
      </c>
      <c r="AH44" s="23" t="str">
        <f t="shared" ca="1" si="16"/>
        <v/>
      </c>
      <c r="AJ44" s="12">
        <f t="shared" ca="1" si="1"/>
        <v>50.61904761904762</v>
      </c>
      <c r="AK44" s="51">
        <f t="shared" ca="1" si="2"/>
        <v>11.97</v>
      </c>
      <c r="AL44" s="16">
        <f t="shared" ca="1" si="3"/>
        <v>62.589047619047619</v>
      </c>
      <c r="AM44" s="16">
        <f t="shared" ca="1" si="4"/>
        <v>38.649047619047622</v>
      </c>
      <c r="AN44" s="10" t="e">
        <f t="shared" ca="1" si="5"/>
        <v>#N/A</v>
      </c>
      <c r="AO44" s="10" t="e">
        <f t="shared" ca="1" si="6"/>
        <v>#N/A</v>
      </c>
      <c r="AP44" s="10" t="e">
        <f t="shared" ca="1" si="7"/>
        <v>#N/A</v>
      </c>
      <c r="AQ44" s="10" t="e">
        <f t="shared" si="8"/>
        <v>#N/A</v>
      </c>
      <c r="AR44" s="10" t="e">
        <f t="shared" si="8"/>
        <v>#N/A</v>
      </c>
      <c r="BC44" s="29"/>
    </row>
    <row r="45" spans="2:55" x14ac:dyDescent="0.25">
      <c r="B45" s="41">
        <f>IF('Your data source'!B23="",NA(),'Your data source'!B23)</f>
        <v>43040</v>
      </c>
      <c r="C45" s="65">
        <f ca="1">IF('Your data source'!C23="",NA(),'Your data source'!C23)</f>
        <v>43</v>
      </c>
      <c r="D45" s="63"/>
      <c r="E45" s="39"/>
      <c r="F45" s="60"/>
      <c r="G45" s="42">
        <f t="shared" ca="1" si="15"/>
        <v>20</v>
      </c>
      <c r="H45" s="45">
        <f t="shared" ca="1" si="9"/>
        <v>51</v>
      </c>
      <c r="I45" s="36">
        <f t="shared" ca="1" si="10"/>
        <v>0</v>
      </c>
      <c r="J45" s="36">
        <f t="shared" ca="1" si="11"/>
        <v>0</v>
      </c>
      <c r="L45" s="1">
        <f t="shared" ca="1" si="12"/>
        <v>1</v>
      </c>
      <c r="N45" s="21">
        <f t="shared" ca="1" si="17"/>
        <v>43</v>
      </c>
      <c r="O45" s="22" t="str">
        <f t="shared" ca="1" si="17"/>
        <v/>
      </c>
      <c r="P45" s="22" t="str">
        <f t="shared" ca="1" si="17"/>
        <v/>
      </c>
      <c r="Q45" s="22" t="str">
        <f t="shared" ca="1" si="17"/>
        <v/>
      </c>
      <c r="R45" s="22" t="str">
        <f t="shared" ca="1" si="17"/>
        <v/>
      </c>
      <c r="S45" s="22" t="str">
        <f t="shared" ca="1" si="17"/>
        <v/>
      </c>
      <c r="T45" s="22" t="str">
        <f t="shared" ca="1" si="17"/>
        <v/>
      </c>
      <c r="U45" s="22" t="str">
        <f t="shared" ca="1" si="17"/>
        <v/>
      </c>
      <c r="V45" s="22" t="str">
        <f t="shared" ca="1" si="17"/>
        <v/>
      </c>
      <c r="W45" s="23" t="str">
        <f t="shared" ca="1" si="17"/>
        <v/>
      </c>
      <c r="Y45" s="21">
        <f t="shared" ca="1" si="16"/>
        <v>10</v>
      </c>
      <c r="Z45" s="22" t="str">
        <f t="shared" ca="1" si="16"/>
        <v/>
      </c>
      <c r="AA45" s="22" t="str">
        <f t="shared" ca="1" si="16"/>
        <v/>
      </c>
      <c r="AB45" s="22" t="str">
        <f t="shared" ca="1" si="16"/>
        <v/>
      </c>
      <c r="AC45" s="22" t="str">
        <f t="shared" ca="1" si="16"/>
        <v/>
      </c>
      <c r="AD45" s="22" t="str">
        <f t="shared" ca="1" si="16"/>
        <v/>
      </c>
      <c r="AE45" s="22" t="str">
        <f t="shared" ca="1" si="16"/>
        <v/>
      </c>
      <c r="AF45" s="22" t="str">
        <f t="shared" ca="1" si="16"/>
        <v/>
      </c>
      <c r="AG45" s="22" t="str">
        <f t="shared" ca="1" si="16"/>
        <v/>
      </c>
      <c r="AH45" s="23" t="str">
        <f t="shared" ca="1" si="16"/>
        <v/>
      </c>
      <c r="AJ45" s="12">
        <f t="shared" ca="1" si="1"/>
        <v>50.61904761904762</v>
      </c>
      <c r="AK45" s="51">
        <f t="shared" ca="1" si="2"/>
        <v>11.97</v>
      </c>
      <c r="AL45" s="16">
        <f t="shared" ca="1" si="3"/>
        <v>62.589047619047619</v>
      </c>
      <c r="AM45" s="16">
        <f t="shared" ca="1" si="4"/>
        <v>38.649047619047622</v>
      </c>
      <c r="AN45" s="10" t="e">
        <f t="shared" ca="1" si="5"/>
        <v>#N/A</v>
      </c>
      <c r="AO45" s="10" t="e">
        <f t="shared" ca="1" si="6"/>
        <v>#N/A</v>
      </c>
      <c r="AP45" s="10" t="e">
        <f t="shared" ca="1" si="7"/>
        <v>#N/A</v>
      </c>
      <c r="AQ45" s="10" t="e">
        <f t="shared" si="8"/>
        <v>#N/A</v>
      </c>
      <c r="AR45" s="10" t="e">
        <f t="shared" si="8"/>
        <v>#N/A</v>
      </c>
      <c r="BC45" s="29"/>
    </row>
    <row r="46" spans="2:55" x14ac:dyDescent="0.25">
      <c r="B46" s="41">
        <f>IF('Your data source'!B24="",NA(),'Your data source'!B24)</f>
        <v>43070</v>
      </c>
      <c r="C46" s="65">
        <f ca="1">IF('Your data source'!C24="",NA(),'Your data source'!C24)</f>
        <v>51</v>
      </c>
      <c r="D46" s="63"/>
      <c r="E46" s="39"/>
      <c r="F46" s="60"/>
      <c r="G46" s="42">
        <f t="shared" ca="1" si="15"/>
        <v>21</v>
      </c>
      <c r="H46" s="45">
        <f t="shared" ca="1" si="9"/>
        <v>51</v>
      </c>
      <c r="I46" s="36">
        <f t="shared" ca="1" si="10"/>
        <v>0</v>
      </c>
      <c r="J46" s="36">
        <f t="shared" ca="1" si="11"/>
        <v>0</v>
      </c>
      <c r="L46" s="1">
        <f t="shared" ca="1" si="12"/>
        <v>1</v>
      </c>
      <c r="N46" s="21">
        <f t="shared" ca="1" si="17"/>
        <v>51</v>
      </c>
      <c r="O46" s="22" t="str">
        <f t="shared" ca="1" si="17"/>
        <v/>
      </c>
      <c r="P46" s="22" t="str">
        <f t="shared" ca="1" si="17"/>
        <v/>
      </c>
      <c r="Q46" s="22" t="str">
        <f t="shared" ca="1" si="17"/>
        <v/>
      </c>
      <c r="R46" s="22" t="str">
        <f t="shared" ca="1" si="17"/>
        <v/>
      </c>
      <c r="S46" s="22" t="str">
        <f t="shared" ca="1" si="17"/>
        <v/>
      </c>
      <c r="T46" s="22" t="str">
        <f t="shared" ca="1" si="17"/>
        <v/>
      </c>
      <c r="U46" s="22" t="str">
        <f t="shared" ca="1" si="17"/>
        <v/>
      </c>
      <c r="V46" s="22" t="str">
        <f t="shared" ca="1" si="17"/>
        <v/>
      </c>
      <c r="W46" s="23" t="str">
        <f t="shared" ca="1" si="17"/>
        <v/>
      </c>
      <c r="Y46" s="21">
        <f t="shared" ca="1" si="16"/>
        <v>8</v>
      </c>
      <c r="Z46" s="22" t="str">
        <f t="shared" ca="1" si="16"/>
        <v/>
      </c>
      <c r="AA46" s="22" t="str">
        <f t="shared" ca="1" si="16"/>
        <v/>
      </c>
      <c r="AB46" s="22" t="str">
        <f t="shared" ca="1" si="16"/>
        <v/>
      </c>
      <c r="AC46" s="22" t="str">
        <f t="shared" ca="1" si="16"/>
        <v/>
      </c>
      <c r="AD46" s="22" t="str">
        <f t="shared" ca="1" si="16"/>
        <v/>
      </c>
      <c r="AE46" s="22" t="str">
        <f t="shared" ca="1" si="16"/>
        <v/>
      </c>
      <c r="AF46" s="22" t="str">
        <f t="shared" ca="1" si="16"/>
        <v/>
      </c>
      <c r="AG46" s="22" t="str">
        <f t="shared" ca="1" si="16"/>
        <v/>
      </c>
      <c r="AH46" s="23" t="str">
        <f t="shared" ca="1" si="16"/>
        <v/>
      </c>
      <c r="AJ46" s="12">
        <f t="shared" ca="1" si="1"/>
        <v>50.61904761904762</v>
      </c>
      <c r="AK46" s="51">
        <f t="shared" ca="1" si="2"/>
        <v>11.97</v>
      </c>
      <c r="AL46" s="16">
        <f t="shared" ca="1" si="3"/>
        <v>62.589047619047619</v>
      </c>
      <c r="AM46" s="16">
        <f t="shared" ca="1" si="4"/>
        <v>38.649047619047622</v>
      </c>
      <c r="AN46" s="10" t="e">
        <f t="shared" ca="1" si="5"/>
        <v>#N/A</v>
      </c>
      <c r="AO46" s="10" t="e">
        <f t="shared" ca="1" si="6"/>
        <v>#N/A</v>
      </c>
      <c r="AP46" s="10" t="e">
        <f t="shared" ca="1" si="7"/>
        <v>#N/A</v>
      </c>
      <c r="AQ46" s="10" t="e">
        <f t="shared" si="8"/>
        <v>#N/A</v>
      </c>
      <c r="AR46" s="10" t="e">
        <f t="shared" si="8"/>
        <v>#N/A</v>
      </c>
      <c r="BC46" s="29"/>
    </row>
    <row r="47" spans="2:55" x14ac:dyDescent="0.25">
      <c r="B47" s="41">
        <f>IF('Your data source'!B25="",NA(),'Your data source'!B25)</f>
        <v>43101</v>
      </c>
      <c r="C47" s="65">
        <f ca="1">IF('Your data source'!C25="",NA(),'Your data source'!C25)</f>
        <v>60</v>
      </c>
      <c r="D47" s="63"/>
      <c r="E47" s="39"/>
      <c r="F47" s="60"/>
      <c r="G47" s="42">
        <f t="shared" ca="1" si="15"/>
        <v>22</v>
      </c>
      <c r="H47" s="45">
        <f t="shared" ca="1" si="9"/>
        <v>51</v>
      </c>
      <c r="I47" s="36">
        <f t="shared" ca="1" si="10"/>
        <v>0</v>
      </c>
      <c r="J47" s="36">
        <f t="shared" ca="1" si="11"/>
        <v>0</v>
      </c>
      <c r="L47" s="1">
        <f t="shared" ca="1" si="12"/>
        <v>1</v>
      </c>
      <c r="N47" s="21" t="str">
        <f t="shared" ca="1" si="17"/>
        <v/>
      </c>
      <c r="O47" s="22" t="str">
        <f t="shared" ca="1" si="17"/>
        <v/>
      </c>
      <c r="P47" s="22" t="str">
        <f t="shared" ca="1" si="17"/>
        <v/>
      </c>
      <c r="Q47" s="22" t="str">
        <f t="shared" ca="1" si="17"/>
        <v/>
      </c>
      <c r="R47" s="22" t="str">
        <f t="shared" ca="1" si="17"/>
        <v/>
      </c>
      <c r="S47" s="22" t="str">
        <f t="shared" ca="1" si="17"/>
        <v/>
      </c>
      <c r="T47" s="22" t="str">
        <f t="shared" ca="1" si="17"/>
        <v/>
      </c>
      <c r="U47" s="22" t="str">
        <f t="shared" ca="1" si="17"/>
        <v/>
      </c>
      <c r="V47" s="22" t="str">
        <f t="shared" ca="1" si="17"/>
        <v/>
      </c>
      <c r="W47" s="23" t="str">
        <f t="shared" ca="1" si="17"/>
        <v/>
      </c>
      <c r="Y47" s="21" t="str">
        <f t="shared" ca="1" si="16"/>
        <v/>
      </c>
      <c r="Z47" s="22" t="str">
        <f t="shared" ca="1" si="16"/>
        <v/>
      </c>
      <c r="AA47" s="22" t="str">
        <f t="shared" ca="1" si="16"/>
        <v/>
      </c>
      <c r="AB47" s="22" t="str">
        <f t="shared" ca="1" si="16"/>
        <v/>
      </c>
      <c r="AC47" s="22" t="str">
        <f t="shared" ca="1" si="16"/>
        <v/>
      </c>
      <c r="AD47" s="22" t="str">
        <f t="shared" ca="1" si="16"/>
        <v/>
      </c>
      <c r="AE47" s="22" t="str">
        <f t="shared" ca="1" si="16"/>
        <v/>
      </c>
      <c r="AF47" s="22" t="str">
        <f t="shared" ca="1" si="16"/>
        <v/>
      </c>
      <c r="AG47" s="22" t="str">
        <f t="shared" ca="1" si="16"/>
        <v/>
      </c>
      <c r="AH47" s="23" t="str">
        <f t="shared" ca="1" si="16"/>
        <v/>
      </c>
      <c r="AJ47" s="12">
        <f t="shared" ca="1" si="1"/>
        <v>50.61904761904762</v>
      </c>
      <c r="AK47" s="51">
        <f t="shared" ca="1" si="2"/>
        <v>11.97</v>
      </c>
      <c r="AL47" s="16">
        <f t="shared" ca="1" si="3"/>
        <v>62.589047619047619</v>
      </c>
      <c r="AM47" s="16">
        <f t="shared" ca="1" si="4"/>
        <v>38.649047619047622</v>
      </c>
      <c r="AN47" s="10" t="e">
        <f t="shared" ca="1" si="5"/>
        <v>#N/A</v>
      </c>
      <c r="AO47" s="10" t="e">
        <f t="shared" ca="1" si="6"/>
        <v>#N/A</v>
      </c>
      <c r="AP47" s="10" t="e">
        <f t="shared" ca="1" si="7"/>
        <v>#N/A</v>
      </c>
      <c r="AQ47" s="10" t="e">
        <f t="shared" si="8"/>
        <v>#N/A</v>
      </c>
      <c r="AR47" s="10" t="e">
        <f t="shared" si="8"/>
        <v>#N/A</v>
      </c>
      <c r="BC47" s="29"/>
    </row>
    <row r="48" spans="2:55" x14ac:dyDescent="0.25">
      <c r="B48" s="41">
        <f>IF('Your data source'!B26="",NA(),'Your data source'!B26)</f>
        <v>43132</v>
      </c>
      <c r="C48" s="65">
        <f ca="1">IF('Your data source'!C26="",NA(),'Your data source'!C26)</f>
        <v>50</v>
      </c>
      <c r="D48" s="63"/>
      <c r="E48" s="39"/>
      <c r="F48" s="60"/>
      <c r="G48" s="42">
        <f t="shared" ca="1" si="15"/>
        <v>23</v>
      </c>
      <c r="H48" s="45">
        <f t="shared" ca="1" si="9"/>
        <v>51</v>
      </c>
      <c r="I48" s="36">
        <f t="shared" ca="1" si="10"/>
        <v>0</v>
      </c>
      <c r="J48" s="36">
        <f t="shared" ca="1" si="11"/>
        <v>0</v>
      </c>
      <c r="L48" s="1">
        <f t="shared" ca="1" si="12"/>
        <v>1</v>
      </c>
      <c r="N48" s="21" t="str">
        <f t="shared" ca="1" si="17"/>
        <v/>
      </c>
      <c r="O48" s="22" t="str">
        <f t="shared" ca="1" si="17"/>
        <v/>
      </c>
      <c r="P48" s="22" t="str">
        <f t="shared" ca="1" si="17"/>
        <v/>
      </c>
      <c r="Q48" s="22" t="str">
        <f t="shared" ca="1" si="17"/>
        <v/>
      </c>
      <c r="R48" s="22" t="str">
        <f t="shared" ca="1" si="17"/>
        <v/>
      </c>
      <c r="S48" s="22" t="str">
        <f t="shared" ca="1" si="17"/>
        <v/>
      </c>
      <c r="T48" s="22" t="str">
        <f t="shared" ca="1" si="17"/>
        <v/>
      </c>
      <c r="U48" s="22" t="str">
        <f t="shared" ca="1" si="17"/>
        <v/>
      </c>
      <c r="V48" s="22" t="str">
        <f t="shared" ca="1" si="17"/>
        <v/>
      </c>
      <c r="W48" s="23" t="str">
        <f t="shared" ca="1" si="17"/>
        <v/>
      </c>
      <c r="Y48" s="21" t="str">
        <f t="shared" ca="1" si="16"/>
        <v/>
      </c>
      <c r="Z48" s="22" t="str">
        <f t="shared" ca="1" si="16"/>
        <v/>
      </c>
      <c r="AA48" s="22" t="str">
        <f t="shared" ca="1" si="16"/>
        <v/>
      </c>
      <c r="AB48" s="22" t="str">
        <f t="shared" ca="1" si="16"/>
        <v/>
      </c>
      <c r="AC48" s="22" t="str">
        <f t="shared" ca="1" si="16"/>
        <v/>
      </c>
      <c r="AD48" s="22" t="str">
        <f t="shared" ca="1" si="16"/>
        <v/>
      </c>
      <c r="AE48" s="22" t="str">
        <f t="shared" ca="1" si="16"/>
        <v/>
      </c>
      <c r="AF48" s="22" t="str">
        <f t="shared" ca="1" si="16"/>
        <v/>
      </c>
      <c r="AG48" s="22" t="str">
        <f t="shared" ca="1" si="16"/>
        <v/>
      </c>
      <c r="AH48" s="23" t="str">
        <f t="shared" ca="1" si="16"/>
        <v/>
      </c>
      <c r="AJ48" s="12">
        <f t="shared" ca="1" si="1"/>
        <v>50.61904761904762</v>
      </c>
      <c r="AK48" s="51">
        <f t="shared" ca="1" si="2"/>
        <v>11.97</v>
      </c>
      <c r="AL48" s="16">
        <f t="shared" ca="1" si="3"/>
        <v>62.589047619047619</v>
      </c>
      <c r="AM48" s="16">
        <f t="shared" ca="1" si="4"/>
        <v>38.649047619047622</v>
      </c>
      <c r="AN48" s="10" t="e">
        <f t="shared" ca="1" si="5"/>
        <v>#N/A</v>
      </c>
      <c r="AO48" s="10" t="e">
        <f t="shared" ca="1" si="6"/>
        <v>#N/A</v>
      </c>
      <c r="AP48" s="10" t="e">
        <f t="shared" ca="1" si="7"/>
        <v>#N/A</v>
      </c>
      <c r="AQ48" s="10" t="e">
        <f t="shared" si="8"/>
        <v>#N/A</v>
      </c>
      <c r="AR48" s="10" t="e">
        <f t="shared" si="8"/>
        <v>#N/A</v>
      </c>
      <c r="BC48" s="29"/>
    </row>
    <row r="49" spans="2:77" x14ac:dyDescent="0.25">
      <c r="B49" s="41">
        <f>IF('Your data source'!B27="",NA(),'Your data source'!B27)</f>
        <v>43160</v>
      </c>
      <c r="C49" s="65">
        <f ca="1">IF('Your data source'!C27="",NA(),'Your data source'!C27)</f>
        <v>48</v>
      </c>
      <c r="D49" s="63"/>
      <c r="E49" s="39"/>
      <c r="F49" s="60"/>
      <c r="G49" s="42">
        <f t="shared" ca="1" si="15"/>
        <v>24</v>
      </c>
      <c r="H49" s="45">
        <f t="shared" ca="1" si="9"/>
        <v>51</v>
      </c>
      <c r="I49" s="36">
        <f t="shared" ca="1" si="10"/>
        <v>0</v>
      </c>
      <c r="J49" s="36">
        <f t="shared" ca="1" si="11"/>
        <v>0</v>
      </c>
      <c r="L49" s="1">
        <f t="shared" ca="1" si="12"/>
        <v>1</v>
      </c>
      <c r="N49" s="21" t="str">
        <f t="shared" ca="1" si="17"/>
        <v/>
      </c>
      <c r="O49" s="22" t="str">
        <f t="shared" ca="1" si="17"/>
        <v/>
      </c>
      <c r="P49" s="22" t="str">
        <f t="shared" ca="1" si="17"/>
        <v/>
      </c>
      <c r="Q49" s="22" t="str">
        <f t="shared" ca="1" si="17"/>
        <v/>
      </c>
      <c r="R49" s="22" t="str">
        <f t="shared" ca="1" si="17"/>
        <v/>
      </c>
      <c r="S49" s="22" t="str">
        <f t="shared" ca="1" si="17"/>
        <v/>
      </c>
      <c r="T49" s="22" t="str">
        <f t="shared" ca="1" si="17"/>
        <v/>
      </c>
      <c r="U49" s="22" t="str">
        <f t="shared" ca="1" si="17"/>
        <v/>
      </c>
      <c r="V49" s="22" t="str">
        <f t="shared" ca="1" si="17"/>
        <v/>
      </c>
      <c r="W49" s="23" t="str">
        <f t="shared" ca="1" si="17"/>
        <v/>
      </c>
      <c r="Y49" s="21" t="str">
        <f t="shared" ca="1" si="16"/>
        <v/>
      </c>
      <c r="Z49" s="22" t="str">
        <f t="shared" ca="1" si="16"/>
        <v/>
      </c>
      <c r="AA49" s="22" t="str">
        <f t="shared" ca="1" si="16"/>
        <v/>
      </c>
      <c r="AB49" s="22" t="str">
        <f t="shared" ca="1" si="16"/>
        <v/>
      </c>
      <c r="AC49" s="22" t="str">
        <f t="shared" ca="1" si="16"/>
        <v/>
      </c>
      <c r="AD49" s="22" t="str">
        <f t="shared" ca="1" si="16"/>
        <v/>
      </c>
      <c r="AE49" s="22" t="str">
        <f t="shared" ca="1" si="16"/>
        <v/>
      </c>
      <c r="AF49" s="22" t="str">
        <f t="shared" ca="1" si="16"/>
        <v/>
      </c>
      <c r="AG49" s="22" t="str">
        <f t="shared" ca="1" si="16"/>
        <v/>
      </c>
      <c r="AH49" s="23" t="str">
        <f t="shared" ca="1" si="16"/>
        <v/>
      </c>
      <c r="AJ49" s="12">
        <f t="shared" ca="1" si="1"/>
        <v>50.61904761904762</v>
      </c>
      <c r="AK49" s="51">
        <f t="shared" ca="1" si="2"/>
        <v>11.97</v>
      </c>
      <c r="AL49" s="16">
        <f t="shared" ca="1" si="3"/>
        <v>62.589047619047619</v>
      </c>
      <c r="AM49" s="16">
        <f t="shared" ca="1" si="4"/>
        <v>38.649047619047622</v>
      </c>
      <c r="AN49" s="10" t="e">
        <f t="shared" ca="1" si="5"/>
        <v>#N/A</v>
      </c>
      <c r="AO49" s="10" t="e">
        <f t="shared" ca="1" si="6"/>
        <v>#N/A</v>
      </c>
      <c r="AP49" s="10" t="e">
        <f t="shared" ca="1" si="7"/>
        <v>#N/A</v>
      </c>
      <c r="AQ49" s="10" t="e">
        <f t="shared" si="8"/>
        <v>#N/A</v>
      </c>
      <c r="AR49" s="10" t="e">
        <f t="shared" si="8"/>
        <v>#N/A</v>
      </c>
      <c r="BC49" s="29"/>
    </row>
    <row r="50" spans="2:77" x14ac:dyDescent="0.25">
      <c r="B50" s="41">
        <f>IF('Your data source'!B28="",NA(),'Your data source'!B28)</f>
        <v>43191</v>
      </c>
      <c r="C50" s="65">
        <f ca="1">IF('Your data source'!C28="",NA(),'Your data source'!C28)</f>
        <v>59</v>
      </c>
      <c r="D50" s="63"/>
      <c r="E50" s="39"/>
      <c r="F50" s="60"/>
      <c r="G50" s="42">
        <f t="shared" ca="1" si="15"/>
        <v>25</v>
      </c>
      <c r="H50" s="45">
        <f t="shared" ca="1" si="9"/>
        <v>51</v>
      </c>
      <c r="I50" s="36">
        <f t="shared" ca="1" si="10"/>
        <v>0</v>
      </c>
      <c r="J50" s="36">
        <f t="shared" ca="1" si="11"/>
        <v>0</v>
      </c>
      <c r="L50" s="1">
        <f t="shared" ca="1" si="12"/>
        <v>1</v>
      </c>
      <c r="N50" s="21" t="str">
        <f t="shared" ca="1" si="17"/>
        <v/>
      </c>
      <c r="O50" s="22" t="str">
        <f t="shared" ca="1" si="17"/>
        <v/>
      </c>
      <c r="P50" s="22" t="str">
        <f t="shared" ca="1" si="17"/>
        <v/>
      </c>
      <c r="Q50" s="22" t="str">
        <f t="shared" ca="1" si="17"/>
        <v/>
      </c>
      <c r="R50" s="22" t="str">
        <f t="shared" ca="1" si="17"/>
        <v/>
      </c>
      <c r="S50" s="22" t="str">
        <f t="shared" ca="1" si="17"/>
        <v/>
      </c>
      <c r="T50" s="22" t="str">
        <f t="shared" ca="1" si="17"/>
        <v/>
      </c>
      <c r="U50" s="22" t="str">
        <f t="shared" ca="1" si="17"/>
        <v/>
      </c>
      <c r="V50" s="22" t="str">
        <f t="shared" ca="1" si="17"/>
        <v/>
      </c>
      <c r="W50" s="23" t="str">
        <f t="shared" ca="1" si="17"/>
        <v/>
      </c>
      <c r="Y50" s="21" t="str">
        <f t="shared" ca="1" si="16"/>
        <v/>
      </c>
      <c r="Z50" s="22" t="str">
        <f t="shared" ca="1" si="16"/>
        <v/>
      </c>
      <c r="AA50" s="22" t="str">
        <f t="shared" ca="1" si="16"/>
        <v/>
      </c>
      <c r="AB50" s="22" t="str">
        <f t="shared" ca="1" si="16"/>
        <v/>
      </c>
      <c r="AC50" s="22" t="str">
        <f t="shared" ca="1" si="16"/>
        <v/>
      </c>
      <c r="AD50" s="22" t="str">
        <f t="shared" ca="1" si="16"/>
        <v/>
      </c>
      <c r="AE50" s="22" t="str">
        <f t="shared" ca="1" si="16"/>
        <v/>
      </c>
      <c r="AF50" s="22" t="str">
        <f t="shared" ca="1" si="16"/>
        <v/>
      </c>
      <c r="AG50" s="22" t="str">
        <f t="shared" ca="1" si="16"/>
        <v/>
      </c>
      <c r="AH50" s="23" t="str">
        <f t="shared" ca="1" si="16"/>
        <v/>
      </c>
      <c r="AJ50" s="12">
        <f t="shared" ca="1" si="1"/>
        <v>50.61904761904762</v>
      </c>
      <c r="AK50" s="51">
        <f t="shared" ca="1" si="2"/>
        <v>11.97</v>
      </c>
      <c r="AL50" s="16">
        <f t="shared" ca="1" si="3"/>
        <v>62.589047619047619</v>
      </c>
      <c r="AM50" s="16">
        <f t="shared" ca="1" si="4"/>
        <v>38.649047619047622</v>
      </c>
      <c r="AN50" s="10" t="e">
        <f t="shared" ca="1" si="5"/>
        <v>#N/A</v>
      </c>
      <c r="AO50" s="10" t="e">
        <f t="shared" ca="1" si="6"/>
        <v>#N/A</v>
      </c>
      <c r="AP50" s="10" t="e">
        <f t="shared" ca="1" si="7"/>
        <v>#N/A</v>
      </c>
      <c r="AQ50" s="10" t="e">
        <f t="shared" si="8"/>
        <v>#N/A</v>
      </c>
      <c r="AR50" s="10" t="e">
        <f t="shared" si="8"/>
        <v>#N/A</v>
      </c>
      <c r="BC50" s="29"/>
    </row>
    <row r="51" spans="2:77" x14ac:dyDescent="0.25">
      <c r="B51" s="41">
        <f>IF('Your data source'!B29="",NA(),'Your data source'!B29)</f>
        <v>43221</v>
      </c>
      <c r="C51" s="65">
        <f ca="1">IF('Your data source'!C29="",NA(),'Your data source'!C29)</f>
        <v>41</v>
      </c>
      <c r="D51" s="63"/>
      <c r="E51" s="39"/>
      <c r="F51" s="60"/>
      <c r="G51" s="42">
        <f t="shared" ca="1" si="15"/>
        <v>26</v>
      </c>
      <c r="H51" s="45">
        <f t="shared" ca="1" si="9"/>
        <v>51</v>
      </c>
      <c r="I51" s="36">
        <f t="shared" ca="1" si="10"/>
        <v>0</v>
      </c>
      <c r="J51" s="36">
        <f t="shared" ca="1" si="11"/>
        <v>0</v>
      </c>
      <c r="L51" s="1">
        <f t="shared" ca="1" si="12"/>
        <v>1</v>
      </c>
      <c r="N51" s="21" t="str">
        <f t="shared" ca="1" si="17"/>
        <v/>
      </c>
      <c r="O51" s="22" t="str">
        <f t="shared" ca="1" si="17"/>
        <v/>
      </c>
      <c r="P51" s="22" t="str">
        <f t="shared" ca="1" si="17"/>
        <v/>
      </c>
      <c r="Q51" s="22" t="str">
        <f t="shared" ca="1" si="17"/>
        <v/>
      </c>
      <c r="R51" s="22" t="str">
        <f t="shared" ca="1" si="17"/>
        <v/>
      </c>
      <c r="S51" s="22" t="str">
        <f t="shared" ca="1" si="17"/>
        <v/>
      </c>
      <c r="T51" s="22" t="str">
        <f t="shared" ca="1" si="17"/>
        <v/>
      </c>
      <c r="U51" s="22" t="str">
        <f t="shared" ca="1" si="17"/>
        <v/>
      </c>
      <c r="V51" s="22" t="str">
        <f t="shared" ca="1" si="17"/>
        <v/>
      </c>
      <c r="W51" s="23" t="str">
        <f t="shared" ca="1" si="17"/>
        <v/>
      </c>
      <c r="Y51" s="21" t="str">
        <f t="shared" ca="1" si="16"/>
        <v/>
      </c>
      <c r="Z51" s="22" t="str">
        <f t="shared" ca="1" si="16"/>
        <v/>
      </c>
      <c r="AA51" s="22" t="str">
        <f t="shared" ca="1" si="16"/>
        <v/>
      </c>
      <c r="AB51" s="22" t="str">
        <f t="shared" ca="1" si="16"/>
        <v/>
      </c>
      <c r="AC51" s="22" t="str">
        <f t="shared" ca="1" si="16"/>
        <v/>
      </c>
      <c r="AD51" s="22" t="str">
        <f t="shared" ca="1" si="16"/>
        <v/>
      </c>
      <c r="AE51" s="22" t="str">
        <f t="shared" ca="1" si="16"/>
        <v/>
      </c>
      <c r="AF51" s="22" t="str">
        <f t="shared" ca="1" si="16"/>
        <v/>
      </c>
      <c r="AG51" s="22" t="str">
        <f t="shared" ca="1" si="16"/>
        <v/>
      </c>
      <c r="AH51" s="23" t="str">
        <f t="shared" ca="1" si="16"/>
        <v/>
      </c>
      <c r="AJ51" s="12">
        <f t="shared" ca="1" si="1"/>
        <v>50.61904761904762</v>
      </c>
      <c r="AK51" s="51">
        <f t="shared" ca="1" si="2"/>
        <v>11.97</v>
      </c>
      <c r="AL51" s="16">
        <f t="shared" ca="1" si="3"/>
        <v>62.589047619047619</v>
      </c>
      <c r="AM51" s="16">
        <f t="shared" ca="1" si="4"/>
        <v>38.649047619047622</v>
      </c>
      <c r="AN51" s="10" t="e">
        <f t="shared" ca="1" si="5"/>
        <v>#N/A</v>
      </c>
      <c r="AO51" s="10" t="e">
        <f t="shared" ca="1" si="6"/>
        <v>#N/A</v>
      </c>
      <c r="AP51" s="10" t="e">
        <f t="shared" ca="1" si="7"/>
        <v>#N/A</v>
      </c>
      <c r="AQ51" s="10" t="e">
        <f t="shared" si="8"/>
        <v>#N/A</v>
      </c>
      <c r="AR51" s="10" t="e">
        <f t="shared" si="8"/>
        <v>#N/A</v>
      </c>
      <c r="BC51" s="29"/>
      <c r="BY51" t="s">
        <v>36</v>
      </c>
    </row>
    <row r="52" spans="2:77" x14ac:dyDescent="0.25">
      <c r="B52" s="41">
        <f>IF('Your data source'!B30="",NA(),'Your data source'!B30)</f>
        <v>43252</v>
      </c>
      <c r="C52" s="65">
        <f ca="1">IF('Your data source'!C30="",NA(),'Your data source'!C30)</f>
        <v>59</v>
      </c>
      <c r="D52" s="63"/>
      <c r="E52" s="39"/>
      <c r="F52" s="60"/>
      <c r="G52" s="42">
        <f t="shared" ca="1" si="15"/>
        <v>27</v>
      </c>
      <c r="H52" s="45">
        <f t="shared" ca="1" si="9"/>
        <v>51</v>
      </c>
      <c r="I52" s="36">
        <f t="shared" ca="1" si="10"/>
        <v>0</v>
      </c>
      <c r="J52" s="36">
        <f t="shared" ca="1" si="11"/>
        <v>0</v>
      </c>
      <c r="L52" s="1">
        <f t="shared" ca="1" si="12"/>
        <v>1</v>
      </c>
      <c r="N52" s="21" t="str">
        <f t="shared" ca="1" si="17"/>
        <v/>
      </c>
      <c r="O52" s="22" t="str">
        <f t="shared" ca="1" si="17"/>
        <v/>
      </c>
      <c r="P52" s="22" t="str">
        <f t="shared" ca="1" si="17"/>
        <v/>
      </c>
      <c r="Q52" s="22" t="str">
        <f t="shared" ca="1" si="17"/>
        <v/>
      </c>
      <c r="R52" s="22" t="str">
        <f t="shared" ca="1" si="17"/>
        <v/>
      </c>
      <c r="S52" s="22" t="str">
        <f t="shared" ca="1" si="17"/>
        <v/>
      </c>
      <c r="T52" s="22" t="str">
        <f t="shared" ca="1" si="17"/>
        <v/>
      </c>
      <c r="U52" s="22" t="str">
        <f t="shared" ca="1" si="17"/>
        <v/>
      </c>
      <c r="V52" s="22" t="str">
        <f t="shared" ca="1" si="17"/>
        <v/>
      </c>
      <c r="W52" s="23" t="str">
        <f t="shared" ca="1" si="17"/>
        <v/>
      </c>
      <c r="Y52" s="21" t="str">
        <f t="shared" ca="1" si="16"/>
        <v/>
      </c>
      <c r="Z52" s="22" t="str">
        <f t="shared" ca="1" si="16"/>
        <v/>
      </c>
      <c r="AA52" s="22" t="str">
        <f t="shared" ca="1" si="16"/>
        <v/>
      </c>
      <c r="AB52" s="22" t="str">
        <f t="shared" ca="1" si="16"/>
        <v/>
      </c>
      <c r="AC52" s="22" t="str">
        <f t="shared" ca="1" si="16"/>
        <v/>
      </c>
      <c r="AD52" s="22" t="str">
        <f t="shared" ca="1" si="16"/>
        <v/>
      </c>
      <c r="AE52" s="22" t="str">
        <f t="shared" ca="1" si="16"/>
        <v/>
      </c>
      <c r="AF52" s="22" t="str">
        <f t="shared" ca="1" si="16"/>
        <v/>
      </c>
      <c r="AG52" s="22" t="str">
        <f t="shared" ca="1" si="16"/>
        <v/>
      </c>
      <c r="AH52" s="23" t="str">
        <f t="shared" ca="1" si="16"/>
        <v/>
      </c>
      <c r="AJ52" s="12">
        <f t="shared" ca="1" si="1"/>
        <v>50.61904761904762</v>
      </c>
      <c r="AK52" s="51">
        <f t="shared" ca="1" si="2"/>
        <v>11.97</v>
      </c>
      <c r="AL52" s="16">
        <f t="shared" ca="1" si="3"/>
        <v>62.589047619047619</v>
      </c>
      <c r="AM52" s="16">
        <f t="shared" ca="1" si="4"/>
        <v>38.649047619047622</v>
      </c>
      <c r="AN52" s="10" t="e">
        <f t="shared" ca="1" si="5"/>
        <v>#N/A</v>
      </c>
      <c r="AO52" s="10" t="e">
        <f t="shared" ca="1" si="6"/>
        <v>#N/A</v>
      </c>
      <c r="AP52" s="10" t="e">
        <f t="shared" ca="1" si="7"/>
        <v>#N/A</v>
      </c>
      <c r="AQ52" s="10" t="e">
        <f t="shared" si="8"/>
        <v>#N/A</v>
      </c>
      <c r="AR52" s="10" t="e">
        <f t="shared" si="8"/>
        <v>#N/A</v>
      </c>
      <c r="BC52" s="29"/>
    </row>
    <row r="53" spans="2:77" x14ac:dyDescent="0.25">
      <c r="B53" s="41">
        <f>IF('Your data source'!B31="",NA(),'Your data source'!B31)</f>
        <v>43282</v>
      </c>
      <c r="C53" s="65">
        <f ca="1">IF('Your data source'!C31="",NA(),'Your data source'!C31)</f>
        <v>59</v>
      </c>
      <c r="D53" s="63"/>
      <c r="E53" s="39"/>
      <c r="F53" s="60"/>
      <c r="G53" s="42">
        <f t="shared" ca="1" si="15"/>
        <v>28</v>
      </c>
      <c r="H53" s="45">
        <f t="shared" ca="1" si="9"/>
        <v>51</v>
      </c>
      <c r="I53" s="36">
        <f t="shared" ca="1" si="10"/>
        <v>0</v>
      </c>
      <c r="J53" s="36">
        <f t="shared" ca="1" si="11"/>
        <v>0</v>
      </c>
      <c r="L53" s="1">
        <f t="shared" ca="1" si="12"/>
        <v>1</v>
      </c>
      <c r="N53" s="21" t="str">
        <f t="shared" ca="1" si="17"/>
        <v/>
      </c>
      <c r="O53" s="22" t="str">
        <f t="shared" ca="1" si="17"/>
        <v/>
      </c>
      <c r="P53" s="22" t="str">
        <f t="shared" ca="1" si="17"/>
        <v/>
      </c>
      <c r="Q53" s="22" t="str">
        <f t="shared" ca="1" si="17"/>
        <v/>
      </c>
      <c r="R53" s="22" t="str">
        <f t="shared" ca="1" si="17"/>
        <v/>
      </c>
      <c r="S53" s="22" t="str">
        <f t="shared" ca="1" si="17"/>
        <v/>
      </c>
      <c r="T53" s="22" t="str">
        <f t="shared" ca="1" si="17"/>
        <v/>
      </c>
      <c r="U53" s="22" t="str">
        <f t="shared" ca="1" si="17"/>
        <v/>
      </c>
      <c r="V53" s="22" t="str">
        <f t="shared" ca="1" si="17"/>
        <v/>
      </c>
      <c r="W53" s="23" t="str">
        <f t="shared" ca="1" si="17"/>
        <v/>
      </c>
      <c r="Y53" s="21" t="str">
        <f t="shared" ca="1" si="16"/>
        <v/>
      </c>
      <c r="Z53" s="22" t="str">
        <f t="shared" ca="1" si="16"/>
        <v/>
      </c>
      <c r="AA53" s="22" t="str">
        <f t="shared" ca="1" si="16"/>
        <v/>
      </c>
      <c r="AB53" s="22" t="str">
        <f t="shared" ca="1" si="16"/>
        <v/>
      </c>
      <c r="AC53" s="22" t="str">
        <f t="shared" ca="1" si="16"/>
        <v/>
      </c>
      <c r="AD53" s="22" t="str">
        <f t="shared" ca="1" si="16"/>
        <v/>
      </c>
      <c r="AE53" s="22" t="str">
        <f t="shared" ca="1" si="16"/>
        <v/>
      </c>
      <c r="AF53" s="22" t="str">
        <f t="shared" ca="1" si="16"/>
        <v/>
      </c>
      <c r="AG53" s="22" t="str">
        <f t="shared" ca="1" si="16"/>
        <v/>
      </c>
      <c r="AH53" s="23" t="str">
        <f t="shared" ca="1" si="16"/>
        <v/>
      </c>
      <c r="AJ53" s="12">
        <f t="shared" ca="1" si="1"/>
        <v>50.61904761904762</v>
      </c>
      <c r="AK53" s="51">
        <f t="shared" ca="1" si="2"/>
        <v>11.97</v>
      </c>
      <c r="AL53" s="16">
        <f t="shared" ca="1" si="3"/>
        <v>62.589047619047619</v>
      </c>
      <c r="AM53" s="16">
        <f t="shared" ca="1" si="4"/>
        <v>38.649047619047622</v>
      </c>
      <c r="AN53" s="10" t="e">
        <f t="shared" ca="1" si="5"/>
        <v>#N/A</v>
      </c>
      <c r="AO53" s="10" t="e">
        <f t="shared" ca="1" si="6"/>
        <v>#N/A</v>
      </c>
      <c r="AP53" s="10" t="e">
        <f t="shared" ca="1" si="7"/>
        <v>#N/A</v>
      </c>
      <c r="AQ53" s="10" t="e">
        <f t="shared" si="8"/>
        <v>#N/A</v>
      </c>
      <c r="AR53" s="10" t="e">
        <f t="shared" si="8"/>
        <v>#N/A</v>
      </c>
      <c r="BC53" s="29"/>
    </row>
    <row r="54" spans="2:77" x14ac:dyDescent="0.25">
      <c r="B54" s="41">
        <f>IF('Your data source'!B32="",NA(),'Your data source'!B32)</f>
        <v>43313</v>
      </c>
      <c r="C54" s="65">
        <f ca="1">IF('Your data source'!C32="",NA(),'Your data source'!C32)</f>
        <v>43</v>
      </c>
      <c r="D54" s="63"/>
      <c r="E54" s="39"/>
      <c r="F54" s="60"/>
      <c r="G54" s="42">
        <f t="shared" ca="1" si="15"/>
        <v>29</v>
      </c>
      <c r="H54" s="45">
        <f t="shared" ca="1" si="9"/>
        <v>51</v>
      </c>
      <c r="I54" s="36">
        <f t="shared" ca="1" si="10"/>
        <v>0</v>
      </c>
      <c r="J54" s="36">
        <f t="shared" ca="1" si="11"/>
        <v>0</v>
      </c>
      <c r="L54" s="1">
        <f t="shared" ca="1" si="12"/>
        <v>1</v>
      </c>
      <c r="N54" s="21" t="str">
        <f t="shared" ca="1" si="17"/>
        <v/>
      </c>
      <c r="O54" s="22" t="str">
        <f t="shared" ca="1" si="17"/>
        <v/>
      </c>
      <c r="P54" s="22" t="str">
        <f t="shared" ca="1" si="17"/>
        <v/>
      </c>
      <c r="Q54" s="22" t="str">
        <f t="shared" ca="1" si="17"/>
        <v/>
      </c>
      <c r="R54" s="22" t="str">
        <f t="shared" ca="1" si="17"/>
        <v/>
      </c>
      <c r="S54" s="22" t="str">
        <f t="shared" ca="1" si="17"/>
        <v/>
      </c>
      <c r="T54" s="22" t="str">
        <f t="shared" ca="1" si="17"/>
        <v/>
      </c>
      <c r="U54" s="22" t="str">
        <f t="shared" ca="1" si="17"/>
        <v/>
      </c>
      <c r="V54" s="22" t="str">
        <f t="shared" ca="1" si="17"/>
        <v/>
      </c>
      <c r="W54" s="23" t="str">
        <f t="shared" ca="1" si="17"/>
        <v/>
      </c>
      <c r="Y54" s="21" t="str">
        <f t="shared" ca="1" si="16"/>
        <v/>
      </c>
      <c r="Z54" s="22" t="str">
        <f t="shared" ca="1" si="16"/>
        <v/>
      </c>
      <c r="AA54" s="22" t="str">
        <f t="shared" ca="1" si="16"/>
        <v/>
      </c>
      <c r="AB54" s="22" t="str">
        <f t="shared" ca="1" si="16"/>
        <v/>
      </c>
      <c r="AC54" s="22" t="str">
        <f t="shared" ca="1" si="16"/>
        <v/>
      </c>
      <c r="AD54" s="22" t="str">
        <f t="shared" ca="1" si="16"/>
        <v/>
      </c>
      <c r="AE54" s="22" t="str">
        <f t="shared" ca="1" si="16"/>
        <v/>
      </c>
      <c r="AF54" s="22" t="str">
        <f t="shared" ca="1" si="16"/>
        <v/>
      </c>
      <c r="AG54" s="22" t="str">
        <f t="shared" ca="1" si="16"/>
        <v/>
      </c>
      <c r="AH54" s="23" t="str">
        <f t="shared" ca="1" si="16"/>
        <v/>
      </c>
      <c r="AJ54" s="12">
        <f t="shared" ca="1" si="1"/>
        <v>50.61904761904762</v>
      </c>
      <c r="AK54" s="51">
        <f t="shared" ca="1" si="2"/>
        <v>11.97</v>
      </c>
      <c r="AL54" s="16">
        <f t="shared" ca="1" si="3"/>
        <v>62.589047619047619</v>
      </c>
      <c r="AM54" s="16">
        <f t="shared" ca="1" si="4"/>
        <v>38.649047619047622</v>
      </c>
      <c r="AN54" s="10" t="e">
        <f t="shared" ca="1" si="5"/>
        <v>#N/A</v>
      </c>
      <c r="AO54" s="10" t="e">
        <f t="shared" ca="1" si="6"/>
        <v>#N/A</v>
      </c>
      <c r="AP54" s="10" t="e">
        <f t="shared" ca="1" si="7"/>
        <v>#N/A</v>
      </c>
      <c r="AQ54" s="10" t="e">
        <f t="shared" si="8"/>
        <v>#N/A</v>
      </c>
      <c r="AR54" s="10" t="e">
        <f t="shared" si="8"/>
        <v>#N/A</v>
      </c>
      <c r="BC54" s="29"/>
    </row>
    <row r="55" spans="2:77" x14ac:dyDescent="0.25">
      <c r="B55" s="41">
        <f>IF('Your data source'!B33="",NA(),'Your data source'!B33)</f>
        <v>43344</v>
      </c>
      <c r="C55" s="65">
        <f ca="1">IF('Your data source'!C33="",NA(),'Your data source'!C33)</f>
        <v>56</v>
      </c>
      <c r="D55" s="63"/>
      <c r="E55" s="39"/>
      <c r="F55" s="60"/>
      <c r="G55" s="42">
        <f t="shared" ca="1" si="15"/>
        <v>30</v>
      </c>
      <c r="H55" s="45">
        <f t="shared" ca="1" si="9"/>
        <v>51</v>
      </c>
      <c r="I55" s="36">
        <f t="shared" ca="1" si="10"/>
        <v>0</v>
      </c>
      <c r="J55" s="36">
        <f t="shared" ca="1" si="11"/>
        <v>0</v>
      </c>
      <c r="L55" s="1">
        <f t="shared" ca="1" si="12"/>
        <v>1</v>
      </c>
      <c r="N55" s="21" t="str">
        <f t="shared" ca="1" si="17"/>
        <v/>
      </c>
      <c r="O55" s="22" t="str">
        <f t="shared" ca="1" si="17"/>
        <v/>
      </c>
      <c r="P55" s="22" t="str">
        <f t="shared" ca="1" si="17"/>
        <v/>
      </c>
      <c r="Q55" s="22" t="str">
        <f t="shared" ca="1" si="17"/>
        <v/>
      </c>
      <c r="R55" s="22" t="str">
        <f t="shared" ca="1" si="17"/>
        <v/>
      </c>
      <c r="S55" s="22" t="str">
        <f t="shared" ca="1" si="17"/>
        <v/>
      </c>
      <c r="T55" s="22" t="str">
        <f t="shared" ca="1" si="17"/>
        <v/>
      </c>
      <c r="U55" s="22" t="str">
        <f t="shared" ca="1" si="17"/>
        <v/>
      </c>
      <c r="V55" s="22" t="str">
        <f t="shared" ca="1" si="17"/>
        <v/>
      </c>
      <c r="W55" s="23" t="str">
        <f t="shared" ca="1" si="17"/>
        <v/>
      </c>
      <c r="Y55" s="21" t="str">
        <f t="shared" ca="1" si="16"/>
        <v/>
      </c>
      <c r="Z55" s="22" t="str">
        <f t="shared" ca="1" si="16"/>
        <v/>
      </c>
      <c r="AA55" s="22" t="str">
        <f t="shared" ca="1" si="16"/>
        <v/>
      </c>
      <c r="AB55" s="22" t="str">
        <f t="shared" ca="1" si="16"/>
        <v/>
      </c>
      <c r="AC55" s="22" t="str">
        <f t="shared" ca="1" si="16"/>
        <v/>
      </c>
      <c r="AD55" s="22" t="str">
        <f t="shared" ca="1" si="16"/>
        <v/>
      </c>
      <c r="AE55" s="22" t="str">
        <f t="shared" ca="1" si="16"/>
        <v/>
      </c>
      <c r="AF55" s="22" t="str">
        <f t="shared" ca="1" si="16"/>
        <v/>
      </c>
      <c r="AG55" s="22" t="str">
        <f t="shared" ca="1" si="16"/>
        <v/>
      </c>
      <c r="AH55" s="23" t="str">
        <f t="shared" ca="1" si="16"/>
        <v/>
      </c>
      <c r="AJ55" s="12">
        <f t="shared" ca="1" si="1"/>
        <v>50.61904761904762</v>
      </c>
      <c r="AK55" s="51">
        <f t="shared" ca="1" si="2"/>
        <v>11.97</v>
      </c>
      <c r="AL55" s="16">
        <f t="shared" ca="1" si="3"/>
        <v>62.589047619047619</v>
      </c>
      <c r="AM55" s="16">
        <f t="shared" ca="1" si="4"/>
        <v>38.649047619047622</v>
      </c>
      <c r="AN55" s="10" t="e">
        <f t="shared" ca="1" si="5"/>
        <v>#N/A</v>
      </c>
      <c r="AO55" s="10" t="e">
        <f t="shared" ca="1" si="6"/>
        <v>#N/A</v>
      </c>
      <c r="AP55" s="10" t="e">
        <f t="shared" ca="1" si="7"/>
        <v>#N/A</v>
      </c>
      <c r="AQ55" s="10" t="e">
        <f t="shared" si="8"/>
        <v>#N/A</v>
      </c>
      <c r="AR55" s="10" t="e">
        <f t="shared" si="8"/>
        <v>#N/A</v>
      </c>
      <c r="BC55" s="29"/>
    </row>
    <row r="56" spans="2:77" x14ac:dyDescent="0.25">
      <c r="B56" s="41">
        <f>IF('Your data source'!B34="",NA(),'Your data source'!B34)</f>
        <v>43374</v>
      </c>
      <c r="C56" s="65">
        <f ca="1">IF('Your data source'!C34="",NA(),'Your data source'!C34)</f>
        <v>53</v>
      </c>
      <c r="D56" s="63"/>
      <c r="E56" s="39"/>
      <c r="F56" s="60"/>
      <c r="G56" s="42">
        <f t="shared" ca="1" si="15"/>
        <v>31</v>
      </c>
      <c r="H56" s="45">
        <f t="shared" ca="1" si="9"/>
        <v>51</v>
      </c>
      <c r="I56" s="36">
        <f t="shared" ca="1" si="10"/>
        <v>0</v>
      </c>
      <c r="J56" s="36">
        <f t="shared" ca="1" si="11"/>
        <v>0</v>
      </c>
      <c r="L56" s="1">
        <f t="shared" ca="1" si="12"/>
        <v>1</v>
      </c>
      <c r="N56" s="21" t="str">
        <f t="shared" ca="1" si="17"/>
        <v/>
      </c>
      <c r="O56" s="22" t="str">
        <f t="shared" ca="1" si="17"/>
        <v/>
      </c>
      <c r="P56" s="22" t="str">
        <f t="shared" ca="1" si="17"/>
        <v/>
      </c>
      <c r="Q56" s="22" t="str">
        <f t="shared" ca="1" si="17"/>
        <v/>
      </c>
      <c r="R56" s="22" t="str">
        <f t="shared" ca="1" si="17"/>
        <v/>
      </c>
      <c r="S56" s="22" t="str">
        <f t="shared" ca="1" si="17"/>
        <v/>
      </c>
      <c r="T56" s="22" t="str">
        <f t="shared" ca="1" si="17"/>
        <v/>
      </c>
      <c r="U56" s="22" t="str">
        <f t="shared" ca="1" si="17"/>
        <v/>
      </c>
      <c r="V56" s="22" t="str">
        <f t="shared" ca="1" si="17"/>
        <v/>
      </c>
      <c r="W56" s="23" t="str">
        <f t="shared" ca="1" si="17"/>
        <v/>
      </c>
      <c r="Y56" s="21" t="str">
        <f t="shared" ca="1" si="16"/>
        <v/>
      </c>
      <c r="Z56" s="22" t="str">
        <f t="shared" ca="1" si="16"/>
        <v/>
      </c>
      <c r="AA56" s="22" t="str">
        <f t="shared" ca="1" si="16"/>
        <v/>
      </c>
      <c r="AB56" s="22" t="str">
        <f t="shared" ca="1" si="16"/>
        <v/>
      </c>
      <c r="AC56" s="22" t="str">
        <f t="shared" ca="1" si="16"/>
        <v/>
      </c>
      <c r="AD56" s="22" t="str">
        <f t="shared" ca="1" si="16"/>
        <v/>
      </c>
      <c r="AE56" s="22" t="str">
        <f t="shared" ca="1" si="16"/>
        <v/>
      </c>
      <c r="AF56" s="22" t="str">
        <f t="shared" ca="1" si="16"/>
        <v/>
      </c>
      <c r="AG56" s="22" t="str">
        <f t="shared" ca="1" si="16"/>
        <v/>
      </c>
      <c r="AH56" s="23" t="str">
        <f t="shared" ca="1" si="16"/>
        <v/>
      </c>
      <c r="AJ56" s="12">
        <f t="shared" ca="1" si="1"/>
        <v>50.61904761904762</v>
      </c>
      <c r="AK56" s="51">
        <f t="shared" ca="1" si="2"/>
        <v>11.97</v>
      </c>
      <c r="AL56" s="16">
        <f t="shared" ca="1" si="3"/>
        <v>62.589047619047619</v>
      </c>
      <c r="AM56" s="16">
        <f t="shared" ca="1" si="4"/>
        <v>38.649047619047622</v>
      </c>
      <c r="AN56" s="10" t="e">
        <f t="shared" ca="1" si="5"/>
        <v>#N/A</v>
      </c>
      <c r="AO56" s="10" t="e">
        <f t="shared" ca="1" si="6"/>
        <v>#N/A</v>
      </c>
      <c r="AP56" s="10" t="e">
        <f t="shared" ca="1" si="7"/>
        <v>#N/A</v>
      </c>
      <c r="AQ56" s="10" t="e">
        <f t="shared" si="8"/>
        <v>#N/A</v>
      </c>
      <c r="AR56" s="10" t="e">
        <f t="shared" si="8"/>
        <v>#N/A</v>
      </c>
      <c r="BC56" s="29"/>
      <c r="BE56" s="54" t="s">
        <v>4</v>
      </c>
      <c r="BF56" s="54" t="s">
        <v>26</v>
      </c>
      <c r="BG56" s="54" t="s">
        <v>27</v>
      </c>
      <c r="BH56" s="54" t="s">
        <v>28</v>
      </c>
    </row>
    <row r="57" spans="2:77" x14ac:dyDescent="0.25">
      <c r="B57" s="41">
        <f>IF('Your data source'!B35="",NA(),'Your data source'!B35)</f>
        <v>43405</v>
      </c>
      <c r="C57" s="65">
        <f ca="1">IF('Your data source'!C35="",NA(),'Your data source'!C35)</f>
        <v>42</v>
      </c>
      <c r="D57" s="63"/>
      <c r="E57" s="39"/>
      <c r="F57" s="60"/>
      <c r="G57" s="42">
        <f t="shared" ca="1" si="15"/>
        <v>32</v>
      </c>
      <c r="H57" s="45">
        <f t="shared" ca="1" si="9"/>
        <v>51</v>
      </c>
      <c r="I57" s="36">
        <f t="shared" ca="1" si="10"/>
        <v>0</v>
      </c>
      <c r="J57" s="36">
        <f t="shared" ca="1" si="11"/>
        <v>0</v>
      </c>
      <c r="L57" s="1">
        <f t="shared" ca="1" si="12"/>
        <v>1</v>
      </c>
      <c r="N57" s="21" t="str">
        <f t="shared" ca="1" si="17"/>
        <v/>
      </c>
      <c r="O57" s="22" t="str">
        <f t="shared" ca="1" si="17"/>
        <v/>
      </c>
      <c r="P57" s="22" t="str">
        <f t="shared" ca="1" si="17"/>
        <v/>
      </c>
      <c r="Q57" s="22" t="str">
        <f t="shared" ca="1" si="17"/>
        <v/>
      </c>
      <c r="R57" s="22" t="str">
        <f t="shared" ca="1" si="17"/>
        <v/>
      </c>
      <c r="S57" s="22" t="str">
        <f t="shared" ca="1" si="17"/>
        <v/>
      </c>
      <c r="T57" s="22" t="str">
        <f t="shared" ca="1" si="17"/>
        <v/>
      </c>
      <c r="U57" s="22" t="str">
        <f t="shared" ca="1" si="17"/>
        <v/>
      </c>
      <c r="V57" s="22" t="str">
        <f t="shared" ca="1" si="17"/>
        <v/>
      </c>
      <c r="W57" s="23" t="str">
        <f t="shared" ca="1" si="17"/>
        <v/>
      </c>
      <c r="Y57" s="21" t="str">
        <f t="shared" ca="1" si="16"/>
        <v/>
      </c>
      <c r="Z57" s="22" t="str">
        <f t="shared" ca="1" si="16"/>
        <v/>
      </c>
      <c r="AA57" s="22" t="str">
        <f t="shared" ca="1" si="16"/>
        <v/>
      </c>
      <c r="AB57" s="22" t="str">
        <f t="shared" ca="1" si="16"/>
        <v/>
      </c>
      <c r="AC57" s="22" t="str">
        <f t="shared" ca="1" si="16"/>
        <v/>
      </c>
      <c r="AD57" s="22" t="str">
        <f t="shared" ca="1" si="16"/>
        <v/>
      </c>
      <c r="AE57" s="22" t="str">
        <f t="shared" ca="1" si="16"/>
        <v/>
      </c>
      <c r="AF57" s="22" t="str">
        <f t="shared" ca="1" si="16"/>
        <v/>
      </c>
      <c r="AG57" s="22" t="str">
        <f t="shared" ca="1" si="16"/>
        <v/>
      </c>
      <c r="AH57" s="23" t="str">
        <f t="shared" ca="1" si="16"/>
        <v/>
      </c>
      <c r="AJ57" s="12">
        <f t="shared" ref="AJ57:AJ89" ca="1" si="18">IF(ISBLANK(C57),NA(),VLOOKUP(L57,values,2,0))</f>
        <v>50.61904761904762</v>
      </c>
      <c r="AK57" s="51">
        <f t="shared" ca="1" si="2"/>
        <v>11.97</v>
      </c>
      <c r="AL57" s="16">
        <f t="shared" ca="1" si="3"/>
        <v>62.589047619047619</v>
      </c>
      <c r="AM57" s="16">
        <f t="shared" ca="1" si="4"/>
        <v>38.649047619047622</v>
      </c>
      <c r="AN57" s="10" t="e">
        <f t="shared" ca="1" si="5"/>
        <v>#N/A</v>
      </c>
      <c r="AO57" s="10" t="e">
        <f t="shared" ca="1" si="6"/>
        <v>#N/A</v>
      </c>
      <c r="AP57" s="10" t="e">
        <f t="shared" ca="1" si="7"/>
        <v>#N/A</v>
      </c>
      <c r="AQ57" s="10" t="e">
        <f t="shared" si="8"/>
        <v>#N/A</v>
      </c>
      <c r="AR57" s="10" t="e">
        <f t="shared" si="8"/>
        <v>#N/A</v>
      </c>
      <c r="BC57" s="29"/>
      <c r="BE57">
        <f t="shared" ref="BE57:BE64" ca="1" si="19">IF(AU26&lt;&gt;"",AT26,"")</f>
        <v>1</v>
      </c>
      <c r="BF57" s="52">
        <f t="shared" ref="BF57:BF66" ca="1" si="20">AU26</f>
        <v>50.61904761904762</v>
      </c>
      <c r="BG57" s="53">
        <f t="shared" ref="BG57:BG66" ca="1" si="21">IFERROR(AV26+BF57,"")</f>
        <v>62.589047619047619</v>
      </c>
      <c r="BH57" s="53">
        <f t="shared" ref="BH57:BH66" ca="1" si="22">IFERROR(BF57-AV26,"")</f>
        <v>38.649047619047622</v>
      </c>
      <c r="BI57">
        <f ca="1">BF57/7</f>
        <v>7.2312925170068025</v>
      </c>
    </row>
    <row r="58" spans="2:77" x14ac:dyDescent="0.25">
      <c r="B58" s="41">
        <f>IF('Your data source'!B36="",NA(),'Your data source'!B36)</f>
        <v>43435</v>
      </c>
      <c r="C58" s="65">
        <f ca="1">IF('Your data source'!C36="",NA(),'Your data source'!C36)</f>
        <v>44</v>
      </c>
      <c r="D58" s="63"/>
      <c r="E58" s="39"/>
      <c r="F58" s="60"/>
      <c r="G58" s="42">
        <f t="shared" ca="1" si="15"/>
        <v>33</v>
      </c>
      <c r="H58" s="45">
        <f t="shared" ca="1" si="9"/>
        <v>51</v>
      </c>
      <c r="I58" s="36">
        <f t="shared" ca="1" si="10"/>
        <v>0</v>
      </c>
      <c r="J58" s="36">
        <f t="shared" ca="1" si="11"/>
        <v>0</v>
      </c>
      <c r="L58" s="1">
        <f t="shared" ca="1" si="12"/>
        <v>1</v>
      </c>
      <c r="N58" s="21" t="str">
        <f t="shared" ca="1" si="17"/>
        <v/>
      </c>
      <c r="O58" s="22" t="str">
        <f t="shared" ca="1" si="17"/>
        <v/>
      </c>
      <c r="P58" s="22" t="str">
        <f t="shared" ca="1" si="17"/>
        <v/>
      </c>
      <c r="Q58" s="22" t="str">
        <f t="shared" ca="1" si="17"/>
        <v/>
      </c>
      <c r="R58" s="22" t="str">
        <f t="shared" ca="1" si="17"/>
        <v/>
      </c>
      <c r="S58" s="22" t="str">
        <f t="shared" ca="1" si="17"/>
        <v/>
      </c>
      <c r="T58" s="22" t="str">
        <f t="shared" ca="1" si="17"/>
        <v/>
      </c>
      <c r="U58" s="22" t="str">
        <f t="shared" ca="1" si="17"/>
        <v/>
      </c>
      <c r="V58" s="22" t="str">
        <f t="shared" ca="1" si="17"/>
        <v/>
      </c>
      <c r="W58" s="23" t="str">
        <f t="shared" ca="1" si="17"/>
        <v/>
      </c>
      <c r="Y58" s="21" t="str">
        <f t="shared" ca="1" si="16"/>
        <v/>
      </c>
      <c r="Z58" s="22" t="str">
        <f t="shared" ca="1" si="16"/>
        <v/>
      </c>
      <c r="AA58" s="22" t="str">
        <f t="shared" ca="1" si="16"/>
        <v/>
      </c>
      <c r="AB58" s="22" t="str">
        <f t="shared" ca="1" si="16"/>
        <v/>
      </c>
      <c r="AC58" s="22" t="str">
        <f t="shared" ca="1" si="16"/>
        <v/>
      </c>
      <c r="AD58" s="22" t="str">
        <f t="shared" ca="1" si="16"/>
        <v/>
      </c>
      <c r="AE58" s="22" t="str">
        <f t="shared" ca="1" si="16"/>
        <v/>
      </c>
      <c r="AF58" s="22" t="str">
        <f t="shared" ca="1" si="16"/>
        <v/>
      </c>
      <c r="AG58" s="22" t="str">
        <f t="shared" ca="1" si="16"/>
        <v/>
      </c>
      <c r="AH58" s="23" t="str">
        <f t="shared" ca="1" si="16"/>
        <v/>
      </c>
      <c r="AJ58" s="12">
        <f t="shared" ca="1" si="18"/>
        <v>50.61904761904762</v>
      </c>
      <c r="AK58" s="51">
        <f t="shared" ca="1" si="2"/>
        <v>11.97</v>
      </c>
      <c r="AL58" s="16">
        <f t="shared" ca="1" si="3"/>
        <v>62.589047619047619</v>
      </c>
      <c r="AM58" s="16">
        <f t="shared" ca="1" si="4"/>
        <v>38.649047619047622</v>
      </c>
      <c r="AN58" s="10" t="e">
        <f t="shared" ca="1" si="5"/>
        <v>#N/A</v>
      </c>
      <c r="AO58" s="10" t="e">
        <f t="shared" ca="1" si="6"/>
        <v>#N/A</v>
      </c>
      <c r="AP58" s="10" t="e">
        <f t="shared" ca="1" si="7"/>
        <v>#N/A</v>
      </c>
      <c r="AQ58" s="10" t="e">
        <f t="shared" si="8"/>
        <v>#N/A</v>
      </c>
      <c r="AR58" s="10" t="e">
        <f t="shared" si="8"/>
        <v>#N/A</v>
      </c>
      <c r="BC58" s="29"/>
      <c r="BE58" t="str">
        <f t="shared" ref="BE58:BE63" ca="1" si="23">IF(AU27&lt;&gt;"",AT27,"")</f>
        <v/>
      </c>
      <c r="BF58" s="52" t="str">
        <f t="shared" ref="BF58:BF63" ca="1" si="24">AU27</f>
        <v/>
      </c>
      <c r="BG58" s="53" t="str">
        <f t="shared" ca="1" si="21"/>
        <v/>
      </c>
      <c r="BH58" s="53" t="str">
        <f t="shared" ca="1" si="22"/>
        <v/>
      </c>
      <c r="BI58" t="e">
        <f ca="1">BF58/7</f>
        <v>#VALUE!</v>
      </c>
    </row>
    <row r="59" spans="2:77" x14ac:dyDescent="0.25">
      <c r="B59" s="41">
        <f>IF('Your data source'!B37="",NA(),'Your data source'!B37)</f>
        <v>43466</v>
      </c>
      <c r="C59" s="65">
        <f ca="1">IF('Your data source'!C37="",NA(),'Your data source'!C37)</f>
        <v>44</v>
      </c>
      <c r="D59" s="63"/>
      <c r="E59" s="39"/>
      <c r="F59" s="60"/>
      <c r="G59" s="42">
        <f t="shared" ca="1" si="15"/>
        <v>34</v>
      </c>
      <c r="H59" s="45">
        <f t="shared" ca="1" si="9"/>
        <v>51</v>
      </c>
      <c r="I59" s="36">
        <f t="shared" ca="1" si="10"/>
        <v>0</v>
      </c>
      <c r="J59" s="36">
        <f t="shared" ca="1" si="11"/>
        <v>0</v>
      </c>
      <c r="L59" s="1">
        <f t="shared" ca="1" si="12"/>
        <v>1</v>
      </c>
      <c r="N59" s="21" t="str">
        <f t="shared" ref="N59:W74" ca="1" si="25">IF(ISNUMBER($C59),IF($G59&lt;=$C$9,IF($L59=N$25,$C59,""),IF(COUNT(INDIRECT(ADDRESS(ROW(N$26),COLUMN())&amp;":"&amp;ADDRESS(ROW()-1,COLUMN())))&gt;$C$13,"",IF($L59=N$25,$C59,""))),"")</f>
        <v/>
      </c>
      <c r="O59" s="22" t="str">
        <f t="shared" ca="1" si="25"/>
        <v/>
      </c>
      <c r="P59" s="22" t="str">
        <f t="shared" ca="1" si="25"/>
        <v/>
      </c>
      <c r="Q59" s="22" t="str">
        <f t="shared" ca="1" si="25"/>
        <v/>
      </c>
      <c r="R59" s="22" t="str">
        <f t="shared" ca="1" si="25"/>
        <v/>
      </c>
      <c r="S59" s="22" t="str">
        <f t="shared" ca="1" si="25"/>
        <v/>
      </c>
      <c r="T59" s="22" t="str">
        <f t="shared" ca="1" si="25"/>
        <v/>
      </c>
      <c r="U59" s="22" t="str">
        <f t="shared" ca="1" si="25"/>
        <v/>
      </c>
      <c r="V59" s="22" t="str">
        <f t="shared" ca="1" si="25"/>
        <v/>
      </c>
      <c r="W59" s="23" t="str">
        <f t="shared" ca="1" si="25"/>
        <v/>
      </c>
      <c r="Y59" s="21" t="str">
        <f t="shared" ca="1" si="16"/>
        <v/>
      </c>
      <c r="Z59" s="22" t="str">
        <f t="shared" ca="1" si="16"/>
        <v/>
      </c>
      <c r="AA59" s="22" t="str">
        <f t="shared" ca="1" si="16"/>
        <v/>
      </c>
      <c r="AB59" s="22" t="str">
        <f t="shared" ca="1" si="16"/>
        <v/>
      </c>
      <c r="AC59" s="22" t="str">
        <f t="shared" ca="1" si="16"/>
        <v/>
      </c>
      <c r="AD59" s="22" t="str">
        <f t="shared" ca="1" si="16"/>
        <v/>
      </c>
      <c r="AE59" s="22" t="str">
        <f t="shared" ca="1" si="16"/>
        <v/>
      </c>
      <c r="AF59" s="22" t="str">
        <f t="shared" ca="1" si="16"/>
        <v/>
      </c>
      <c r="AG59" s="22" t="str">
        <f t="shared" ca="1" si="16"/>
        <v/>
      </c>
      <c r="AH59" s="23" t="str">
        <f t="shared" ca="1" si="16"/>
        <v/>
      </c>
      <c r="AJ59" s="12">
        <f t="shared" ca="1" si="18"/>
        <v>50.61904761904762</v>
      </c>
      <c r="AK59" s="51">
        <f t="shared" ca="1" si="2"/>
        <v>11.97</v>
      </c>
      <c r="AL59" s="16">
        <f t="shared" ca="1" si="3"/>
        <v>62.589047619047619</v>
      </c>
      <c r="AM59" s="16">
        <f t="shared" ca="1" si="4"/>
        <v>38.649047619047622</v>
      </c>
      <c r="AN59" s="10" t="e">
        <f t="shared" ca="1" si="5"/>
        <v>#N/A</v>
      </c>
      <c r="AO59" s="10" t="e">
        <f t="shared" ca="1" si="6"/>
        <v>#N/A</v>
      </c>
      <c r="AP59" s="10" t="e">
        <f t="shared" ca="1" si="7"/>
        <v>#N/A</v>
      </c>
      <c r="AQ59" s="10" t="e">
        <f t="shared" si="8"/>
        <v>#N/A</v>
      </c>
      <c r="AR59" s="10" t="e">
        <f t="shared" si="8"/>
        <v>#N/A</v>
      </c>
      <c r="BC59" s="29"/>
      <c r="BE59" t="str">
        <f t="shared" ca="1" si="23"/>
        <v/>
      </c>
      <c r="BF59" s="52" t="str">
        <f t="shared" ca="1" si="24"/>
        <v/>
      </c>
      <c r="BG59" s="53" t="str">
        <f t="shared" ca="1" si="21"/>
        <v/>
      </c>
      <c r="BH59" s="53" t="str">
        <f t="shared" ca="1" si="22"/>
        <v/>
      </c>
      <c r="BI59" t="e">
        <f ca="1">BI58-BI57</f>
        <v>#VALUE!</v>
      </c>
    </row>
    <row r="60" spans="2:77" x14ac:dyDescent="0.25">
      <c r="B60" s="41">
        <f>IF('Your data source'!B38="",NA(),'Your data source'!B38)</f>
        <v>43497</v>
      </c>
      <c r="C60" s="65">
        <f ca="1">IF('Your data source'!C38="",NA(),'Your data source'!C38)</f>
        <v>53</v>
      </c>
      <c r="D60" s="63"/>
      <c r="E60" s="39"/>
      <c r="F60" s="60"/>
      <c r="G60" s="42">
        <f t="shared" ca="1" si="15"/>
        <v>35</v>
      </c>
      <c r="H60" s="45">
        <f t="shared" ca="1" si="9"/>
        <v>51</v>
      </c>
      <c r="I60" s="36">
        <f t="shared" ca="1" si="10"/>
        <v>0</v>
      </c>
      <c r="J60" s="36">
        <f t="shared" ca="1" si="11"/>
        <v>0</v>
      </c>
      <c r="L60" s="1">
        <f t="shared" ca="1" si="12"/>
        <v>1</v>
      </c>
      <c r="N60" s="21" t="str">
        <f t="shared" ca="1" si="25"/>
        <v/>
      </c>
      <c r="O60" s="22" t="str">
        <f t="shared" ca="1" si="25"/>
        <v/>
      </c>
      <c r="P60" s="22" t="str">
        <f t="shared" ca="1" si="25"/>
        <v/>
      </c>
      <c r="Q60" s="22" t="str">
        <f t="shared" ca="1" si="25"/>
        <v/>
      </c>
      <c r="R60" s="22" t="str">
        <f t="shared" ca="1" si="25"/>
        <v/>
      </c>
      <c r="S60" s="22" t="str">
        <f t="shared" ca="1" si="25"/>
        <v/>
      </c>
      <c r="T60" s="22" t="str">
        <f t="shared" ca="1" si="25"/>
        <v/>
      </c>
      <c r="U60" s="22" t="str">
        <f t="shared" ca="1" si="25"/>
        <v/>
      </c>
      <c r="V60" s="22" t="str">
        <f t="shared" ca="1" si="25"/>
        <v/>
      </c>
      <c r="W60" s="23" t="str">
        <f t="shared" ca="1" si="25"/>
        <v/>
      </c>
      <c r="Y60" s="21" t="str">
        <f t="shared" ca="1" si="16"/>
        <v/>
      </c>
      <c r="Z60" s="22" t="str">
        <f t="shared" ca="1" si="16"/>
        <v/>
      </c>
      <c r="AA60" s="22" t="str">
        <f t="shared" ca="1" si="16"/>
        <v/>
      </c>
      <c r="AB60" s="22" t="str">
        <f t="shared" ca="1" si="16"/>
        <v/>
      </c>
      <c r="AC60" s="22" t="str">
        <f t="shared" ca="1" si="16"/>
        <v/>
      </c>
      <c r="AD60" s="22" t="str">
        <f t="shared" ca="1" si="16"/>
        <v/>
      </c>
      <c r="AE60" s="22" t="str">
        <f t="shared" ca="1" si="16"/>
        <v/>
      </c>
      <c r="AF60" s="22" t="str">
        <f t="shared" ca="1" si="16"/>
        <v/>
      </c>
      <c r="AG60" s="22" t="str">
        <f t="shared" ca="1" si="16"/>
        <v/>
      </c>
      <c r="AH60" s="23" t="str">
        <f t="shared" ca="1" si="16"/>
        <v/>
      </c>
      <c r="AJ60" s="12">
        <f t="shared" ca="1" si="18"/>
        <v>50.61904761904762</v>
      </c>
      <c r="AK60" s="51">
        <f t="shared" ca="1" si="2"/>
        <v>11.97</v>
      </c>
      <c r="AL60" s="16">
        <f t="shared" ca="1" si="3"/>
        <v>62.589047619047619</v>
      </c>
      <c r="AM60" s="16">
        <f t="shared" ca="1" si="4"/>
        <v>38.649047619047622</v>
      </c>
      <c r="AN60" s="10" t="e">
        <f t="shared" ca="1" si="5"/>
        <v>#N/A</v>
      </c>
      <c r="AO60" s="10" t="e">
        <f t="shared" ca="1" si="6"/>
        <v>#N/A</v>
      </c>
      <c r="AP60" s="10" t="e">
        <f t="shared" ca="1" si="7"/>
        <v>#N/A</v>
      </c>
      <c r="AQ60" s="10" t="e">
        <f t="shared" si="8"/>
        <v>#N/A</v>
      </c>
      <c r="AR60" s="10" t="e">
        <f t="shared" si="8"/>
        <v>#N/A</v>
      </c>
      <c r="BC60" s="29"/>
      <c r="BE60" t="str">
        <f t="shared" ca="1" si="23"/>
        <v/>
      </c>
      <c r="BF60" s="52" t="str">
        <f t="shared" ca="1" si="24"/>
        <v/>
      </c>
      <c r="BG60" s="53" t="str">
        <f t="shared" ca="1" si="21"/>
        <v/>
      </c>
      <c r="BH60" s="53" t="str">
        <f t="shared" ca="1" si="22"/>
        <v/>
      </c>
    </row>
    <row r="61" spans="2:77" x14ac:dyDescent="0.25">
      <c r="B61" s="41">
        <f>IF('Your data source'!B39="",NA(),'Your data source'!B39)</f>
        <v>43525</v>
      </c>
      <c r="C61" s="65">
        <f ca="1">IF('Your data source'!C39="",NA(),'Your data source'!C39)</f>
        <v>43</v>
      </c>
      <c r="D61" s="63"/>
      <c r="E61" s="39"/>
      <c r="F61" s="60"/>
      <c r="G61" s="42">
        <f t="shared" ca="1" si="15"/>
        <v>36</v>
      </c>
      <c r="H61" s="45">
        <f t="shared" ca="1" si="9"/>
        <v>51</v>
      </c>
      <c r="I61" s="36">
        <f t="shared" ca="1" si="10"/>
        <v>0</v>
      </c>
      <c r="J61" s="36">
        <f t="shared" ca="1" si="11"/>
        <v>0</v>
      </c>
      <c r="L61" s="1">
        <f t="shared" ca="1" si="12"/>
        <v>1</v>
      </c>
      <c r="N61" s="21" t="str">
        <f t="shared" ca="1" si="25"/>
        <v/>
      </c>
      <c r="O61" s="22" t="str">
        <f t="shared" ca="1" si="25"/>
        <v/>
      </c>
      <c r="P61" s="22" t="str">
        <f t="shared" ca="1" si="25"/>
        <v/>
      </c>
      <c r="Q61" s="22" t="str">
        <f t="shared" ca="1" si="25"/>
        <v/>
      </c>
      <c r="R61" s="22" t="str">
        <f t="shared" ca="1" si="25"/>
        <v/>
      </c>
      <c r="S61" s="22" t="str">
        <f t="shared" ca="1" si="25"/>
        <v/>
      </c>
      <c r="T61" s="22" t="str">
        <f t="shared" ca="1" si="25"/>
        <v/>
      </c>
      <c r="U61" s="22" t="str">
        <f t="shared" ca="1" si="25"/>
        <v/>
      </c>
      <c r="V61" s="22" t="str">
        <f t="shared" ca="1" si="25"/>
        <v/>
      </c>
      <c r="W61" s="23" t="str">
        <f t="shared" ca="1" si="25"/>
        <v/>
      </c>
      <c r="Y61" s="21" t="str">
        <f t="shared" ca="1" si="16"/>
        <v/>
      </c>
      <c r="Z61" s="22" t="str">
        <f t="shared" ca="1" si="16"/>
        <v/>
      </c>
      <c r="AA61" s="22" t="str">
        <f t="shared" ca="1" si="16"/>
        <v/>
      </c>
      <c r="AB61" s="22" t="str">
        <f t="shared" ca="1" si="16"/>
        <v/>
      </c>
      <c r="AC61" s="22" t="str">
        <f t="shared" ca="1" si="16"/>
        <v/>
      </c>
      <c r="AD61" s="22" t="str">
        <f t="shared" ca="1" si="16"/>
        <v/>
      </c>
      <c r="AE61" s="22" t="str">
        <f t="shared" ca="1" si="16"/>
        <v/>
      </c>
      <c r="AF61" s="22" t="str">
        <f t="shared" ca="1" si="16"/>
        <v/>
      </c>
      <c r="AG61" s="22" t="str">
        <f t="shared" ca="1" si="16"/>
        <v/>
      </c>
      <c r="AH61" s="23" t="str">
        <f t="shared" ca="1" si="16"/>
        <v/>
      </c>
      <c r="AJ61" s="12">
        <f t="shared" ca="1" si="18"/>
        <v>50.61904761904762</v>
      </c>
      <c r="AK61" s="51">
        <f t="shared" ca="1" si="2"/>
        <v>11.97</v>
      </c>
      <c r="AL61" s="16">
        <f t="shared" ca="1" si="3"/>
        <v>62.589047619047619</v>
      </c>
      <c r="AM61" s="16">
        <f t="shared" ca="1" si="4"/>
        <v>38.649047619047622</v>
      </c>
      <c r="AN61" s="10" t="e">
        <f t="shared" ca="1" si="5"/>
        <v>#N/A</v>
      </c>
      <c r="AO61" s="10" t="e">
        <f t="shared" ca="1" si="6"/>
        <v>#N/A</v>
      </c>
      <c r="AP61" s="10" t="e">
        <f t="shared" ca="1" si="7"/>
        <v>#N/A</v>
      </c>
      <c r="AQ61" s="10" t="e">
        <f t="shared" si="8"/>
        <v>#N/A</v>
      </c>
      <c r="AR61" s="10" t="e">
        <f t="shared" si="8"/>
        <v>#N/A</v>
      </c>
      <c r="BC61" s="29"/>
      <c r="BE61" t="str">
        <f t="shared" ca="1" si="23"/>
        <v/>
      </c>
      <c r="BF61" s="52" t="str">
        <f t="shared" ca="1" si="24"/>
        <v/>
      </c>
      <c r="BG61" s="53" t="str">
        <f t="shared" ca="1" si="21"/>
        <v/>
      </c>
      <c r="BH61" s="53" t="str">
        <f t="shared" ca="1" si="22"/>
        <v/>
      </c>
    </row>
    <row r="62" spans="2:77" x14ac:dyDescent="0.25">
      <c r="B62" s="41">
        <f>IF('Your data source'!B40="",NA(),'Your data source'!B40)</f>
        <v>43556</v>
      </c>
      <c r="C62" s="65">
        <f ca="1">IF('Your data source'!C40="",NA(),'Your data source'!C40)</f>
        <v>44</v>
      </c>
      <c r="D62" s="63"/>
      <c r="E62" s="39"/>
      <c r="F62" s="60"/>
      <c r="G62" s="42">
        <f t="shared" ca="1" si="15"/>
        <v>37</v>
      </c>
      <c r="H62" s="45">
        <f t="shared" ca="1" si="9"/>
        <v>51</v>
      </c>
      <c r="I62" s="36">
        <f t="shared" ca="1" si="10"/>
        <v>0</v>
      </c>
      <c r="J62" s="36">
        <f t="shared" ca="1" si="11"/>
        <v>0</v>
      </c>
      <c r="L62" s="1">
        <f t="shared" ca="1" si="12"/>
        <v>1</v>
      </c>
      <c r="N62" s="21" t="str">
        <f t="shared" ca="1" si="25"/>
        <v/>
      </c>
      <c r="O62" s="22" t="str">
        <f t="shared" ca="1" si="25"/>
        <v/>
      </c>
      <c r="P62" s="22" t="str">
        <f t="shared" ca="1" si="25"/>
        <v/>
      </c>
      <c r="Q62" s="22" t="str">
        <f t="shared" ca="1" si="25"/>
        <v/>
      </c>
      <c r="R62" s="22" t="str">
        <f t="shared" ca="1" si="25"/>
        <v/>
      </c>
      <c r="S62" s="22" t="str">
        <f t="shared" ca="1" si="25"/>
        <v/>
      </c>
      <c r="T62" s="22" t="str">
        <f t="shared" ca="1" si="25"/>
        <v/>
      </c>
      <c r="U62" s="22" t="str">
        <f t="shared" ca="1" si="25"/>
        <v/>
      </c>
      <c r="V62" s="22" t="str">
        <f t="shared" ca="1" si="25"/>
        <v/>
      </c>
      <c r="W62" s="23" t="str">
        <f t="shared" ca="1" si="25"/>
        <v/>
      </c>
      <c r="Y62" s="21" t="str">
        <f t="shared" ca="1" si="16"/>
        <v/>
      </c>
      <c r="Z62" s="22" t="str">
        <f t="shared" ca="1" si="16"/>
        <v/>
      </c>
      <c r="AA62" s="22" t="str">
        <f t="shared" ca="1" si="16"/>
        <v/>
      </c>
      <c r="AB62" s="22" t="str">
        <f t="shared" ca="1" si="16"/>
        <v/>
      </c>
      <c r="AC62" s="22" t="str">
        <f t="shared" ca="1" si="16"/>
        <v/>
      </c>
      <c r="AD62" s="22" t="str">
        <f t="shared" ca="1" si="16"/>
        <v/>
      </c>
      <c r="AE62" s="22" t="str">
        <f t="shared" ca="1" si="16"/>
        <v/>
      </c>
      <c r="AF62" s="22" t="str">
        <f t="shared" ca="1" si="16"/>
        <v/>
      </c>
      <c r="AG62" s="22" t="str">
        <f t="shared" ca="1" si="16"/>
        <v/>
      </c>
      <c r="AH62" s="23" t="str">
        <f t="shared" ca="1" si="16"/>
        <v/>
      </c>
      <c r="AJ62" s="12">
        <f t="shared" ca="1" si="18"/>
        <v>50.61904761904762</v>
      </c>
      <c r="AK62" s="51">
        <f t="shared" ca="1" si="2"/>
        <v>11.97</v>
      </c>
      <c r="AL62" s="16">
        <f t="shared" ca="1" si="3"/>
        <v>62.589047619047619</v>
      </c>
      <c r="AM62" s="16">
        <f t="shared" ca="1" si="4"/>
        <v>38.649047619047622</v>
      </c>
      <c r="AN62" s="10" t="e">
        <f t="shared" ca="1" si="5"/>
        <v>#N/A</v>
      </c>
      <c r="AO62" s="10" t="e">
        <f t="shared" ca="1" si="6"/>
        <v>#N/A</v>
      </c>
      <c r="AP62" s="10" t="e">
        <f t="shared" ca="1" si="7"/>
        <v>#N/A</v>
      </c>
      <c r="AQ62" s="10" t="e">
        <f t="shared" si="8"/>
        <v>#N/A</v>
      </c>
      <c r="AR62" s="10" t="e">
        <f t="shared" si="8"/>
        <v>#N/A</v>
      </c>
      <c r="BC62" s="29"/>
      <c r="BE62" t="str">
        <f t="shared" ca="1" si="23"/>
        <v/>
      </c>
      <c r="BF62" s="52" t="str">
        <f t="shared" ca="1" si="24"/>
        <v/>
      </c>
      <c r="BG62" s="53" t="str">
        <f t="shared" ca="1" si="21"/>
        <v/>
      </c>
      <c r="BH62" s="53" t="str">
        <f t="shared" ca="1" si="22"/>
        <v/>
      </c>
    </row>
    <row r="63" spans="2:77" x14ac:dyDescent="0.25">
      <c r="B63" s="41">
        <f>IF('Your data source'!B41="",NA(),'Your data source'!B41)</f>
        <v>43586</v>
      </c>
      <c r="C63" s="65">
        <f ca="1">IF('Your data source'!C41="",NA(),'Your data source'!C41)</f>
        <v>60</v>
      </c>
      <c r="D63" s="63"/>
      <c r="E63" s="39"/>
      <c r="F63" s="60"/>
      <c r="G63" s="42">
        <f t="shared" ca="1" si="15"/>
        <v>38</v>
      </c>
      <c r="H63" s="45">
        <f t="shared" ca="1" si="9"/>
        <v>51</v>
      </c>
      <c r="I63" s="36">
        <f t="shared" ca="1" si="10"/>
        <v>0</v>
      </c>
      <c r="J63" s="36">
        <f t="shared" ca="1" si="11"/>
        <v>0</v>
      </c>
      <c r="L63" s="1">
        <f t="shared" ca="1" si="12"/>
        <v>1</v>
      </c>
      <c r="N63" s="21" t="str">
        <f t="shared" ca="1" si="25"/>
        <v/>
      </c>
      <c r="O63" s="22" t="str">
        <f t="shared" ca="1" si="25"/>
        <v/>
      </c>
      <c r="P63" s="22" t="str">
        <f t="shared" ca="1" si="25"/>
        <v/>
      </c>
      <c r="Q63" s="22" t="str">
        <f t="shared" ca="1" si="25"/>
        <v/>
      </c>
      <c r="R63" s="22" t="str">
        <f t="shared" ca="1" si="25"/>
        <v/>
      </c>
      <c r="S63" s="22" t="str">
        <f t="shared" ca="1" si="25"/>
        <v/>
      </c>
      <c r="T63" s="22" t="str">
        <f t="shared" ca="1" si="25"/>
        <v/>
      </c>
      <c r="U63" s="22" t="str">
        <f t="shared" ca="1" si="25"/>
        <v/>
      </c>
      <c r="V63" s="22" t="str">
        <f t="shared" ca="1" si="25"/>
        <v/>
      </c>
      <c r="W63" s="23" t="str">
        <f t="shared" ca="1" si="25"/>
        <v/>
      </c>
      <c r="Y63" s="21" t="str">
        <f t="shared" ca="1" si="16"/>
        <v/>
      </c>
      <c r="Z63" s="22" t="str">
        <f t="shared" ca="1" si="16"/>
        <v/>
      </c>
      <c r="AA63" s="22" t="str">
        <f t="shared" ca="1" si="16"/>
        <v/>
      </c>
      <c r="AB63" s="22" t="str">
        <f t="shared" ca="1" si="16"/>
        <v/>
      </c>
      <c r="AC63" s="22" t="str">
        <f t="shared" ca="1" si="16"/>
        <v/>
      </c>
      <c r="AD63" s="22" t="str">
        <f t="shared" ca="1" si="16"/>
        <v/>
      </c>
      <c r="AE63" s="22" t="str">
        <f t="shared" ca="1" si="16"/>
        <v/>
      </c>
      <c r="AF63" s="22" t="str">
        <f t="shared" ca="1" si="16"/>
        <v/>
      </c>
      <c r="AG63" s="22" t="str">
        <f t="shared" ca="1" si="16"/>
        <v/>
      </c>
      <c r="AH63" s="23" t="str">
        <f t="shared" ca="1" si="16"/>
        <v/>
      </c>
      <c r="AJ63" s="12">
        <f t="shared" ca="1" si="18"/>
        <v>50.61904761904762</v>
      </c>
      <c r="AK63" s="51">
        <f t="shared" ca="1" si="2"/>
        <v>11.97</v>
      </c>
      <c r="AL63" s="16">
        <f t="shared" ca="1" si="3"/>
        <v>62.589047619047619</v>
      </c>
      <c r="AM63" s="16">
        <f t="shared" ca="1" si="4"/>
        <v>38.649047619047622</v>
      </c>
      <c r="AN63" s="10" t="e">
        <f t="shared" ca="1" si="5"/>
        <v>#N/A</v>
      </c>
      <c r="AO63" s="10" t="e">
        <f t="shared" ca="1" si="6"/>
        <v>#N/A</v>
      </c>
      <c r="AP63" s="10" t="e">
        <f t="shared" ca="1" si="7"/>
        <v>#N/A</v>
      </c>
      <c r="AQ63" s="10" t="e">
        <f t="shared" si="8"/>
        <v>#N/A</v>
      </c>
      <c r="AR63" s="10" t="e">
        <f t="shared" si="8"/>
        <v>#N/A</v>
      </c>
      <c r="BC63" s="29"/>
      <c r="BE63" t="str">
        <f t="shared" ca="1" si="23"/>
        <v/>
      </c>
      <c r="BF63" s="52" t="str">
        <f t="shared" ca="1" si="24"/>
        <v/>
      </c>
      <c r="BG63" s="53" t="str">
        <f t="shared" ca="1" si="21"/>
        <v/>
      </c>
      <c r="BH63" s="53" t="str">
        <f t="shared" ca="1" si="22"/>
        <v/>
      </c>
    </row>
    <row r="64" spans="2:77" x14ac:dyDescent="0.25">
      <c r="B64" s="41">
        <f>IF('Your data source'!B42="",NA(),'Your data source'!B42)</f>
        <v>43617</v>
      </c>
      <c r="C64" s="65">
        <f ca="1">IF('Your data source'!C42="",NA(),'Your data source'!C42)</f>
        <v>45</v>
      </c>
      <c r="D64" s="63"/>
      <c r="E64" s="39"/>
      <c r="F64" s="60"/>
      <c r="G64" s="42">
        <f t="shared" ca="1" si="15"/>
        <v>39</v>
      </c>
      <c r="H64" s="45">
        <f t="shared" ca="1" si="9"/>
        <v>51</v>
      </c>
      <c r="I64" s="36">
        <f t="shared" ca="1" si="10"/>
        <v>0</v>
      </c>
      <c r="J64" s="36">
        <f t="shared" ca="1" si="11"/>
        <v>0</v>
      </c>
      <c r="L64" s="1">
        <f t="shared" ca="1" si="12"/>
        <v>1</v>
      </c>
      <c r="N64" s="21" t="str">
        <f t="shared" ca="1" si="25"/>
        <v/>
      </c>
      <c r="O64" s="22" t="str">
        <f t="shared" ca="1" si="25"/>
        <v/>
      </c>
      <c r="P64" s="22" t="str">
        <f t="shared" ca="1" si="25"/>
        <v/>
      </c>
      <c r="Q64" s="22" t="str">
        <f t="shared" ca="1" si="25"/>
        <v/>
      </c>
      <c r="R64" s="22" t="str">
        <f t="shared" ca="1" si="25"/>
        <v/>
      </c>
      <c r="S64" s="22" t="str">
        <f t="shared" ca="1" si="25"/>
        <v/>
      </c>
      <c r="T64" s="22" t="str">
        <f t="shared" ca="1" si="25"/>
        <v/>
      </c>
      <c r="U64" s="22" t="str">
        <f t="shared" ca="1" si="25"/>
        <v/>
      </c>
      <c r="V64" s="22" t="str">
        <f t="shared" ca="1" si="25"/>
        <v/>
      </c>
      <c r="W64" s="23" t="str">
        <f t="shared" ca="1" si="25"/>
        <v/>
      </c>
      <c r="Y64" s="21" t="str">
        <f t="shared" ca="1" si="16"/>
        <v/>
      </c>
      <c r="Z64" s="22" t="str">
        <f t="shared" ca="1" si="16"/>
        <v/>
      </c>
      <c r="AA64" s="22" t="str">
        <f t="shared" ca="1" si="16"/>
        <v/>
      </c>
      <c r="AB64" s="22" t="str">
        <f t="shared" ca="1" si="16"/>
        <v/>
      </c>
      <c r="AC64" s="22" t="str">
        <f t="shared" ca="1" si="16"/>
        <v/>
      </c>
      <c r="AD64" s="22" t="str">
        <f t="shared" ca="1" si="16"/>
        <v/>
      </c>
      <c r="AE64" s="22" t="str">
        <f t="shared" ca="1" si="16"/>
        <v/>
      </c>
      <c r="AF64" s="22" t="str">
        <f t="shared" ca="1" si="16"/>
        <v/>
      </c>
      <c r="AG64" s="22" t="str">
        <f t="shared" ca="1" si="16"/>
        <v/>
      </c>
      <c r="AH64" s="23" t="str">
        <f t="shared" ca="1" si="16"/>
        <v/>
      </c>
      <c r="AJ64" s="12">
        <f t="shared" ca="1" si="18"/>
        <v>50.61904761904762</v>
      </c>
      <c r="AK64" s="51">
        <f t="shared" ca="1" si="2"/>
        <v>11.97</v>
      </c>
      <c r="AL64" s="16">
        <f t="shared" ca="1" si="3"/>
        <v>62.589047619047619</v>
      </c>
      <c r="AM64" s="16">
        <f t="shared" ca="1" si="4"/>
        <v>38.649047619047622</v>
      </c>
      <c r="AN64" s="10" t="e">
        <f t="shared" ca="1" si="5"/>
        <v>#N/A</v>
      </c>
      <c r="AO64" s="10" t="e">
        <f t="shared" ca="1" si="6"/>
        <v>#N/A</v>
      </c>
      <c r="AP64" s="10" t="e">
        <f t="shared" ca="1" si="7"/>
        <v>#N/A</v>
      </c>
      <c r="AQ64" s="10" t="e">
        <f t="shared" si="8"/>
        <v>#N/A</v>
      </c>
      <c r="AR64" s="10" t="e">
        <f t="shared" si="8"/>
        <v>#N/A</v>
      </c>
      <c r="BC64" s="29"/>
      <c r="BE64" t="str">
        <f t="shared" ca="1" si="19"/>
        <v/>
      </c>
      <c r="BF64" s="52" t="str">
        <f t="shared" ca="1" si="20"/>
        <v/>
      </c>
      <c r="BG64" s="53" t="str">
        <f t="shared" ca="1" si="21"/>
        <v/>
      </c>
      <c r="BH64" s="53" t="str">
        <f t="shared" ca="1" si="22"/>
        <v/>
      </c>
    </row>
    <row r="65" spans="2:60" x14ac:dyDescent="0.25">
      <c r="B65" s="41">
        <f>IF('Your data source'!B43="",NA(),'Your data source'!B43)</f>
        <v>43647</v>
      </c>
      <c r="C65" s="65">
        <f ca="1">IF('Your data source'!C43="",NA(),'Your data source'!C43)</f>
        <v>60</v>
      </c>
      <c r="D65" s="63"/>
      <c r="E65" s="39"/>
      <c r="F65" s="60"/>
      <c r="G65" s="42">
        <f t="shared" ca="1" si="15"/>
        <v>40</v>
      </c>
      <c r="H65" s="45">
        <f t="shared" ca="1" si="9"/>
        <v>51</v>
      </c>
      <c r="I65" s="36">
        <f t="shared" ca="1" si="10"/>
        <v>0</v>
      </c>
      <c r="J65" s="36">
        <f t="shared" ca="1" si="11"/>
        <v>0</v>
      </c>
      <c r="L65" s="1">
        <f t="shared" ca="1" si="12"/>
        <v>1</v>
      </c>
      <c r="N65" s="21" t="str">
        <f t="shared" ca="1" si="25"/>
        <v/>
      </c>
      <c r="O65" s="22" t="str">
        <f t="shared" ca="1" si="25"/>
        <v/>
      </c>
      <c r="P65" s="22" t="str">
        <f t="shared" ca="1" si="25"/>
        <v/>
      </c>
      <c r="Q65" s="22" t="str">
        <f t="shared" ca="1" si="25"/>
        <v/>
      </c>
      <c r="R65" s="22" t="str">
        <f t="shared" ca="1" si="25"/>
        <v/>
      </c>
      <c r="S65" s="22" t="str">
        <f t="shared" ca="1" si="25"/>
        <v/>
      </c>
      <c r="T65" s="22" t="str">
        <f t="shared" ca="1" si="25"/>
        <v/>
      </c>
      <c r="U65" s="22" t="str">
        <f t="shared" ca="1" si="25"/>
        <v/>
      </c>
      <c r="V65" s="22" t="str">
        <f t="shared" ca="1" si="25"/>
        <v/>
      </c>
      <c r="W65" s="23" t="str">
        <f t="shared" ca="1" si="25"/>
        <v/>
      </c>
      <c r="Y65" s="21" t="str">
        <f t="shared" ca="1" si="16"/>
        <v/>
      </c>
      <c r="Z65" s="22" t="str">
        <f t="shared" ca="1" si="16"/>
        <v/>
      </c>
      <c r="AA65" s="22" t="str">
        <f t="shared" ca="1" si="16"/>
        <v/>
      </c>
      <c r="AB65" s="22" t="str">
        <f t="shared" ca="1" si="16"/>
        <v/>
      </c>
      <c r="AC65" s="22" t="str">
        <f t="shared" ca="1" si="16"/>
        <v/>
      </c>
      <c r="AD65" s="22" t="str">
        <f t="shared" ca="1" si="16"/>
        <v/>
      </c>
      <c r="AE65" s="22" t="str">
        <f t="shared" ca="1" si="16"/>
        <v/>
      </c>
      <c r="AF65" s="22" t="str">
        <f t="shared" ca="1" si="16"/>
        <v/>
      </c>
      <c r="AG65" s="22" t="str">
        <f t="shared" ca="1" si="16"/>
        <v/>
      </c>
      <c r="AH65" s="23" t="str">
        <f t="shared" ca="1" si="16"/>
        <v/>
      </c>
      <c r="AJ65" s="12">
        <f t="shared" ca="1" si="18"/>
        <v>50.61904761904762</v>
      </c>
      <c r="AK65" s="51">
        <f t="shared" ca="1" si="2"/>
        <v>11.97</v>
      </c>
      <c r="AL65" s="16">
        <f t="shared" ca="1" si="3"/>
        <v>62.589047619047619</v>
      </c>
      <c r="AM65" s="16">
        <f t="shared" ca="1" si="4"/>
        <v>38.649047619047622</v>
      </c>
      <c r="AN65" s="10" t="e">
        <f t="shared" ca="1" si="5"/>
        <v>#N/A</v>
      </c>
      <c r="AO65" s="10" t="e">
        <f t="shared" ca="1" si="6"/>
        <v>#N/A</v>
      </c>
      <c r="AP65" s="10" t="e">
        <f t="shared" ca="1" si="7"/>
        <v>#N/A</v>
      </c>
      <c r="AQ65" s="10" t="e">
        <f t="shared" si="8"/>
        <v>#N/A</v>
      </c>
      <c r="AR65" s="10" t="e">
        <f t="shared" si="8"/>
        <v>#N/A</v>
      </c>
      <c r="BC65" s="29"/>
      <c r="BF65" s="52" t="str">
        <f t="shared" ca="1" si="20"/>
        <v/>
      </c>
      <c r="BG65" s="53" t="str">
        <f t="shared" ca="1" si="21"/>
        <v/>
      </c>
      <c r="BH65" s="53" t="str">
        <f t="shared" ca="1" si="22"/>
        <v/>
      </c>
    </row>
    <row r="66" spans="2:60" x14ac:dyDescent="0.25">
      <c r="B66" s="41">
        <f>IF('Your data source'!B44="",NA(),'Your data source'!B44)</f>
        <v>43678</v>
      </c>
      <c r="C66" s="65">
        <f ca="1">IF('Your data source'!C44="",NA(),'Your data source'!C44)</f>
        <v>48</v>
      </c>
      <c r="D66" s="63"/>
      <c r="E66" s="39"/>
      <c r="F66" s="60"/>
      <c r="G66" s="42">
        <f t="shared" ca="1" si="15"/>
        <v>41</v>
      </c>
      <c r="H66" s="45">
        <f ca="1">IF(G66&gt;$C$9,
    IF(I66&lt;&gt;1,
      H65,
      IF(OR($D$7&gt;=1,IF(F66="Change",1,0)=1),
        SUMIFS($C:$C,$G:$G,"&lt;"&amp;G66+$C$13,$G:$G,"&gt;="&amp;G66,$C:$C,"&lt;&gt;")/COUNTIFS($G:$G,"&lt;"&amp;G66+$C$13,$G:$G,"&gt;="&amp;G66,$C:$C,"&lt;&gt;"),
        SUMIFS($C:$C,$G:$G,"&lt;"&amp;$C$9,$C:$C,"&lt;&gt;")/COUNTIFS($G:$G,"&lt;"&amp;$C$9,$C:$C,"&lt;&gt;")
      )
    ),
    SUMIFS($C:$C,$G:$G,"&lt;"&amp;$C$9,$C:$C,"&lt;&gt;")/COUNTIFS($G:$G,"&lt;"&amp;$C$9,$C:$C,"&lt;&gt;")
)</f>
        <v>51</v>
      </c>
      <c r="I66" s="36">
        <f t="shared" ca="1" si="10"/>
        <v>0</v>
      </c>
      <c r="J66" s="36">
        <f t="shared" ca="1" si="11"/>
        <v>0</v>
      </c>
      <c r="L66" s="1">
        <f t="shared" ca="1" si="12"/>
        <v>1</v>
      </c>
      <c r="N66" s="21" t="str">
        <f t="shared" ca="1" si="25"/>
        <v/>
      </c>
      <c r="O66" s="22" t="str">
        <f t="shared" ca="1" si="25"/>
        <v/>
      </c>
      <c r="P66" s="22" t="str">
        <f t="shared" ca="1" si="25"/>
        <v/>
      </c>
      <c r="Q66" s="22" t="str">
        <f t="shared" ca="1" si="25"/>
        <v/>
      </c>
      <c r="R66" s="22" t="str">
        <f t="shared" ca="1" si="25"/>
        <v/>
      </c>
      <c r="S66" s="22" t="str">
        <f t="shared" ca="1" si="25"/>
        <v/>
      </c>
      <c r="T66" s="22" t="str">
        <f t="shared" ca="1" si="25"/>
        <v/>
      </c>
      <c r="U66" s="22" t="str">
        <f t="shared" ca="1" si="25"/>
        <v/>
      </c>
      <c r="V66" s="22" t="str">
        <f t="shared" ca="1" si="25"/>
        <v/>
      </c>
      <c r="W66" s="23" t="str">
        <f t="shared" ca="1" si="25"/>
        <v/>
      </c>
      <c r="Y66" s="21" t="str">
        <f t="shared" ca="1" si="16"/>
        <v/>
      </c>
      <c r="Z66" s="22" t="str">
        <f t="shared" ca="1" si="16"/>
        <v/>
      </c>
      <c r="AA66" s="22" t="str">
        <f t="shared" ca="1" si="16"/>
        <v/>
      </c>
      <c r="AB66" s="22" t="str">
        <f t="shared" ca="1" si="16"/>
        <v/>
      </c>
      <c r="AC66" s="22" t="str">
        <f t="shared" ca="1" si="16"/>
        <v/>
      </c>
      <c r="AD66" s="22" t="str">
        <f t="shared" ca="1" si="16"/>
        <v/>
      </c>
      <c r="AE66" s="22" t="str">
        <f t="shared" ca="1" si="16"/>
        <v/>
      </c>
      <c r="AF66" s="22" t="str">
        <f t="shared" ca="1" si="16"/>
        <v/>
      </c>
      <c r="AG66" s="22" t="str">
        <f t="shared" ca="1" si="16"/>
        <v/>
      </c>
      <c r="AH66" s="23" t="str">
        <f t="shared" ca="1" si="16"/>
        <v/>
      </c>
      <c r="AJ66" s="12">
        <f t="shared" ca="1" si="18"/>
        <v>50.61904761904762</v>
      </c>
      <c r="AK66" s="51">
        <f t="shared" ca="1" si="2"/>
        <v>11.97</v>
      </c>
      <c r="AL66" s="16">
        <f t="shared" ca="1" si="3"/>
        <v>62.589047619047619</v>
      </c>
      <c r="AM66" s="16">
        <f t="shared" ca="1" si="4"/>
        <v>38.649047619047622</v>
      </c>
      <c r="AN66" s="10" t="e">
        <f t="shared" ca="1" si="5"/>
        <v>#N/A</v>
      </c>
      <c r="AO66" s="10" t="e">
        <f t="shared" ca="1" si="6"/>
        <v>#N/A</v>
      </c>
      <c r="AP66" s="10" t="e">
        <f t="shared" ca="1" si="7"/>
        <v>#N/A</v>
      </c>
      <c r="AQ66" s="10" t="e">
        <f t="shared" si="8"/>
        <v>#N/A</v>
      </c>
      <c r="AR66" s="10" t="e">
        <f t="shared" si="8"/>
        <v>#N/A</v>
      </c>
      <c r="BC66" s="29"/>
      <c r="BE66" t="str">
        <f ca="1">IF(AU35&lt;&gt;"",AT35,"")</f>
        <v/>
      </c>
      <c r="BF66" s="52" t="str">
        <f t="shared" ca="1" si="20"/>
        <v/>
      </c>
      <c r="BG66" s="53" t="str">
        <f t="shared" ca="1" si="21"/>
        <v/>
      </c>
      <c r="BH66" s="53" t="str">
        <f t="shared" ca="1" si="22"/>
        <v/>
      </c>
    </row>
    <row r="67" spans="2:60" x14ac:dyDescent="0.25">
      <c r="B67" s="41" t="e">
        <f>IF('Your data source'!B45="",NA(),'Your data source'!B45)</f>
        <v>#N/A</v>
      </c>
      <c r="C67" s="65" t="e">
        <f>IF('Your data source'!C45="",NA(),'Your data source'!C45)</f>
        <v>#N/A</v>
      </c>
      <c r="D67" s="63"/>
      <c r="E67" s="39"/>
      <c r="F67" s="60"/>
      <c r="G67" s="42" t="str">
        <f t="shared" si="15"/>
        <v/>
      </c>
      <c r="H67" s="45">
        <f t="shared" ca="1" si="9"/>
        <v>51</v>
      </c>
      <c r="I67" s="36">
        <f t="shared" ca="1" si="10"/>
        <v>0</v>
      </c>
      <c r="J67" s="36">
        <f t="shared" ca="1" si="11"/>
        <v>0</v>
      </c>
      <c r="L67" s="1">
        <f t="shared" ca="1" si="12"/>
        <v>1</v>
      </c>
      <c r="N67" s="21" t="str">
        <f t="shared" ca="1" si="25"/>
        <v/>
      </c>
      <c r="O67" s="22" t="str">
        <f t="shared" ca="1" si="25"/>
        <v/>
      </c>
      <c r="P67" s="22" t="str">
        <f t="shared" ca="1" si="25"/>
        <v/>
      </c>
      <c r="Q67" s="22" t="str">
        <f t="shared" ca="1" si="25"/>
        <v/>
      </c>
      <c r="R67" s="22" t="str">
        <f t="shared" ca="1" si="25"/>
        <v/>
      </c>
      <c r="S67" s="22" t="str">
        <f t="shared" ca="1" si="25"/>
        <v/>
      </c>
      <c r="T67" s="22" t="str">
        <f t="shared" ca="1" si="25"/>
        <v/>
      </c>
      <c r="U67" s="22" t="str">
        <f t="shared" ca="1" si="25"/>
        <v/>
      </c>
      <c r="V67" s="22" t="str">
        <f t="shared" ca="1" si="25"/>
        <v/>
      </c>
      <c r="W67" s="23" t="str">
        <f t="shared" ca="1" si="25"/>
        <v/>
      </c>
      <c r="Y67" s="21" t="str">
        <f t="shared" ref="Y67:AH92" ca="1" si="26">IFERROR(ABS(N67-N66),"")</f>
        <v/>
      </c>
      <c r="Z67" s="22" t="str">
        <f t="shared" ca="1" si="26"/>
        <v/>
      </c>
      <c r="AA67" s="22" t="str">
        <f t="shared" ca="1" si="26"/>
        <v/>
      </c>
      <c r="AB67" s="22" t="str">
        <f t="shared" ca="1" si="26"/>
        <v/>
      </c>
      <c r="AC67" s="22" t="str">
        <f t="shared" ca="1" si="26"/>
        <v/>
      </c>
      <c r="AD67" s="22" t="str">
        <f t="shared" ca="1" si="26"/>
        <v/>
      </c>
      <c r="AE67" s="22" t="str">
        <f t="shared" ca="1" si="26"/>
        <v/>
      </c>
      <c r="AF67" s="22" t="str">
        <f t="shared" ca="1" si="26"/>
        <v/>
      </c>
      <c r="AG67" s="22" t="str">
        <f t="shared" ca="1" si="26"/>
        <v/>
      </c>
      <c r="AH67" s="23" t="str">
        <f t="shared" ca="1" si="26"/>
        <v/>
      </c>
      <c r="AJ67" s="12">
        <f t="shared" ca="1" si="18"/>
        <v>50.61904761904762</v>
      </c>
      <c r="AK67" s="51">
        <f t="shared" ca="1" si="2"/>
        <v>11.97</v>
      </c>
      <c r="AL67" s="16">
        <f t="shared" ca="1" si="3"/>
        <v>62.589047619047619</v>
      </c>
      <c r="AM67" s="16">
        <f t="shared" ca="1" si="4"/>
        <v>38.649047619047622</v>
      </c>
      <c r="AN67" s="10" t="e">
        <f t="shared" ca="1" si="5"/>
        <v>#N/A</v>
      </c>
      <c r="AO67" s="10" t="e">
        <f t="shared" ca="1" si="6"/>
        <v>#N/A</v>
      </c>
      <c r="AP67" s="10" t="e">
        <f t="shared" ca="1" si="7"/>
        <v>#N/A</v>
      </c>
      <c r="AQ67" s="10" t="e">
        <f t="shared" si="8"/>
        <v>#N/A</v>
      </c>
      <c r="AR67" s="10" t="e">
        <f t="shared" si="8"/>
        <v>#N/A</v>
      </c>
      <c r="BC67" s="29"/>
      <c r="BH67" s="53"/>
    </row>
    <row r="68" spans="2:60" x14ac:dyDescent="0.25">
      <c r="B68" s="41" t="e">
        <f>IF('Your data source'!B46="",NA(),'Your data source'!B46)</f>
        <v>#N/A</v>
      </c>
      <c r="C68" s="65" t="e">
        <f>IF('Your data source'!C46="",NA(),'Your data source'!C46)</f>
        <v>#N/A</v>
      </c>
      <c r="D68" s="63"/>
      <c r="E68" s="39"/>
      <c r="F68" s="60"/>
      <c r="G68" s="42" t="str">
        <f t="shared" si="15"/>
        <v/>
      </c>
      <c r="H68" s="45">
        <f t="shared" ca="1" si="9"/>
        <v>51</v>
      </c>
      <c r="I68" s="36">
        <f t="shared" ca="1" si="10"/>
        <v>0</v>
      </c>
      <c r="J68" s="36">
        <f t="shared" ca="1" si="11"/>
        <v>0</v>
      </c>
      <c r="L68" s="1">
        <f t="shared" ca="1" si="12"/>
        <v>1</v>
      </c>
      <c r="N68" s="21" t="str">
        <f t="shared" ca="1" si="25"/>
        <v/>
      </c>
      <c r="O68" s="22" t="str">
        <f t="shared" ca="1" si="25"/>
        <v/>
      </c>
      <c r="P68" s="22" t="str">
        <f t="shared" ca="1" si="25"/>
        <v/>
      </c>
      <c r="Q68" s="22" t="str">
        <f t="shared" ca="1" si="25"/>
        <v/>
      </c>
      <c r="R68" s="22" t="str">
        <f t="shared" ca="1" si="25"/>
        <v/>
      </c>
      <c r="S68" s="22" t="str">
        <f t="shared" ca="1" si="25"/>
        <v/>
      </c>
      <c r="T68" s="22" t="str">
        <f t="shared" ca="1" si="25"/>
        <v/>
      </c>
      <c r="U68" s="22" t="str">
        <f t="shared" ca="1" si="25"/>
        <v/>
      </c>
      <c r="V68" s="22" t="str">
        <f t="shared" ca="1" si="25"/>
        <v/>
      </c>
      <c r="W68" s="23" t="str">
        <f t="shared" ca="1" si="25"/>
        <v/>
      </c>
      <c r="Y68" s="21" t="str">
        <f t="shared" ca="1" si="26"/>
        <v/>
      </c>
      <c r="Z68" s="22" t="str">
        <f t="shared" ca="1" si="26"/>
        <v/>
      </c>
      <c r="AA68" s="22" t="str">
        <f t="shared" ca="1" si="26"/>
        <v/>
      </c>
      <c r="AB68" s="22" t="str">
        <f t="shared" ca="1" si="26"/>
        <v/>
      </c>
      <c r="AC68" s="22" t="str">
        <f t="shared" ca="1" si="26"/>
        <v/>
      </c>
      <c r="AD68" s="22" t="str">
        <f t="shared" ca="1" si="26"/>
        <v/>
      </c>
      <c r="AE68" s="22" t="str">
        <f t="shared" ca="1" si="26"/>
        <v/>
      </c>
      <c r="AF68" s="22" t="str">
        <f t="shared" ca="1" si="26"/>
        <v/>
      </c>
      <c r="AG68" s="22" t="str">
        <f t="shared" ca="1" si="26"/>
        <v/>
      </c>
      <c r="AH68" s="23" t="str">
        <f t="shared" ca="1" si="26"/>
        <v/>
      </c>
      <c r="AJ68" s="12">
        <f t="shared" ca="1" si="18"/>
        <v>50.61904761904762</v>
      </c>
      <c r="AK68" s="51">
        <f t="shared" ca="1" si="2"/>
        <v>11.97</v>
      </c>
      <c r="AL68" s="16">
        <f t="shared" ca="1" si="3"/>
        <v>62.589047619047619</v>
      </c>
      <c r="AM68" s="16">
        <f t="shared" ca="1" si="4"/>
        <v>38.649047619047622</v>
      </c>
      <c r="AN68" s="10" t="e">
        <f t="shared" ca="1" si="5"/>
        <v>#N/A</v>
      </c>
      <c r="AO68" s="10" t="e">
        <f t="shared" ca="1" si="6"/>
        <v>#N/A</v>
      </c>
      <c r="AP68" s="10" t="e">
        <f t="shared" ca="1" si="7"/>
        <v>#N/A</v>
      </c>
      <c r="AQ68" s="10" t="e">
        <f t="shared" si="8"/>
        <v>#N/A</v>
      </c>
      <c r="AR68" s="10" t="e">
        <f t="shared" si="8"/>
        <v>#N/A</v>
      </c>
      <c r="BC68" s="29"/>
      <c r="BH68" s="53"/>
    </row>
    <row r="69" spans="2:60" x14ac:dyDescent="0.25">
      <c r="B69" s="41" t="e">
        <f>IF('Your data source'!B47="",NA(),'Your data source'!B47)</f>
        <v>#N/A</v>
      </c>
      <c r="C69" s="65" t="e">
        <f>IF('Your data source'!C47="",NA(),'Your data source'!C47)</f>
        <v>#N/A</v>
      </c>
      <c r="D69" s="63"/>
      <c r="E69" s="39"/>
      <c r="F69" s="60"/>
      <c r="G69" s="42" t="str">
        <f t="shared" si="15"/>
        <v/>
      </c>
      <c r="H69" s="45">
        <f t="shared" ca="1" si="9"/>
        <v>51</v>
      </c>
      <c r="I69" s="36">
        <f t="shared" ca="1" si="10"/>
        <v>0</v>
      </c>
      <c r="J69" s="36">
        <f t="shared" ca="1" si="11"/>
        <v>0</v>
      </c>
      <c r="L69" s="1">
        <f t="shared" ca="1" si="12"/>
        <v>1</v>
      </c>
      <c r="N69" s="21" t="str">
        <f t="shared" ca="1" si="25"/>
        <v/>
      </c>
      <c r="O69" s="22" t="str">
        <f t="shared" ca="1" si="25"/>
        <v/>
      </c>
      <c r="P69" s="22" t="str">
        <f t="shared" ca="1" si="25"/>
        <v/>
      </c>
      <c r="Q69" s="22" t="str">
        <f t="shared" ca="1" si="25"/>
        <v/>
      </c>
      <c r="R69" s="22" t="str">
        <f t="shared" ca="1" si="25"/>
        <v/>
      </c>
      <c r="S69" s="22" t="str">
        <f t="shared" ca="1" si="25"/>
        <v/>
      </c>
      <c r="T69" s="22" t="str">
        <f t="shared" ca="1" si="25"/>
        <v/>
      </c>
      <c r="U69" s="22" t="str">
        <f t="shared" ca="1" si="25"/>
        <v/>
      </c>
      <c r="V69" s="22" t="str">
        <f t="shared" ca="1" si="25"/>
        <v/>
      </c>
      <c r="W69" s="23" t="str">
        <f t="shared" ca="1" si="25"/>
        <v/>
      </c>
      <c r="Y69" s="21" t="str">
        <f t="shared" ca="1" si="26"/>
        <v/>
      </c>
      <c r="Z69" s="22" t="str">
        <f t="shared" ca="1" si="26"/>
        <v/>
      </c>
      <c r="AA69" s="22" t="str">
        <f t="shared" ca="1" si="26"/>
        <v/>
      </c>
      <c r="AB69" s="22" t="str">
        <f t="shared" ca="1" si="26"/>
        <v/>
      </c>
      <c r="AC69" s="22" t="str">
        <f t="shared" ca="1" si="26"/>
        <v/>
      </c>
      <c r="AD69" s="22" t="str">
        <f t="shared" ca="1" si="26"/>
        <v/>
      </c>
      <c r="AE69" s="22" t="str">
        <f t="shared" ca="1" si="26"/>
        <v/>
      </c>
      <c r="AF69" s="22" t="str">
        <f t="shared" ca="1" si="26"/>
        <v/>
      </c>
      <c r="AG69" s="22" t="str">
        <f t="shared" ca="1" si="26"/>
        <v/>
      </c>
      <c r="AH69" s="23" t="str">
        <f t="shared" ca="1" si="26"/>
        <v/>
      </c>
      <c r="AJ69" s="12">
        <f t="shared" ca="1" si="18"/>
        <v>50.61904761904762</v>
      </c>
      <c r="AK69" s="51">
        <f t="shared" ca="1" si="2"/>
        <v>11.97</v>
      </c>
      <c r="AL69" s="16">
        <f t="shared" ca="1" si="3"/>
        <v>62.589047619047619</v>
      </c>
      <c r="AM69" s="16">
        <f t="shared" ca="1" si="4"/>
        <v>38.649047619047622</v>
      </c>
      <c r="AN69" s="10" t="e">
        <f t="shared" ca="1" si="5"/>
        <v>#N/A</v>
      </c>
      <c r="AO69" s="10" t="e">
        <f t="shared" ca="1" si="6"/>
        <v>#N/A</v>
      </c>
      <c r="AP69" s="10" t="e">
        <f t="shared" ca="1" si="7"/>
        <v>#N/A</v>
      </c>
      <c r="AQ69" s="10" t="e">
        <f t="shared" si="8"/>
        <v>#N/A</v>
      </c>
      <c r="AR69" s="10" t="e">
        <f t="shared" si="8"/>
        <v>#N/A</v>
      </c>
      <c r="BC69" s="29"/>
    </row>
    <row r="70" spans="2:60" x14ac:dyDescent="0.25">
      <c r="B70" s="41" t="e">
        <f>IF('Your data source'!B48="",NA(),'Your data source'!B48)</f>
        <v>#N/A</v>
      </c>
      <c r="C70" s="65" t="e">
        <f>IF('Your data source'!C48="",NA(),'Your data source'!C48)</f>
        <v>#N/A</v>
      </c>
      <c r="D70" s="63"/>
      <c r="E70" s="39"/>
      <c r="F70" s="60"/>
      <c r="G70" s="42" t="str">
        <f t="shared" si="15"/>
        <v/>
      </c>
      <c r="H70" s="45">
        <f t="shared" ca="1" si="9"/>
        <v>51</v>
      </c>
      <c r="I70" s="36">
        <f t="shared" ca="1" si="10"/>
        <v>0</v>
      </c>
      <c r="J70" s="36">
        <f t="shared" ca="1" si="11"/>
        <v>0</v>
      </c>
      <c r="L70" s="1">
        <f t="shared" ca="1" si="12"/>
        <v>1</v>
      </c>
      <c r="N70" s="21" t="str">
        <f t="shared" ca="1" si="25"/>
        <v/>
      </c>
      <c r="O70" s="22" t="str">
        <f t="shared" ca="1" si="25"/>
        <v/>
      </c>
      <c r="P70" s="22" t="str">
        <f t="shared" ca="1" si="25"/>
        <v/>
      </c>
      <c r="Q70" s="22" t="str">
        <f t="shared" ca="1" si="25"/>
        <v/>
      </c>
      <c r="R70" s="22" t="str">
        <f t="shared" ca="1" si="25"/>
        <v/>
      </c>
      <c r="S70" s="22" t="str">
        <f t="shared" ca="1" si="25"/>
        <v/>
      </c>
      <c r="T70" s="22" t="str">
        <f t="shared" ca="1" si="25"/>
        <v/>
      </c>
      <c r="U70" s="22" t="str">
        <f t="shared" ca="1" si="25"/>
        <v/>
      </c>
      <c r="V70" s="22" t="str">
        <f t="shared" ca="1" si="25"/>
        <v/>
      </c>
      <c r="W70" s="23" t="str">
        <f t="shared" ca="1" si="25"/>
        <v/>
      </c>
      <c r="Y70" s="21" t="str">
        <f t="shared" ca="1" si="26"/>
        <v/>
      </c>
      <c r="Z70" s="22" t="str">
        <f t="shared" ca="1" si="26"/>
        <v/>
      </c>
      <c r="AA70" s="22" t="str">
        <f t="shared" ca="1" si="26"/>
        <v/>
      </c>
      <c r="AB70" s="22" t="str">
        <f t="shared" ca="1" si="26"/>
        <v/>
      </c>
      <c r="AC70" s="22" t="str">
        <f t="shared" ca="1" si="26"/>
        <v/>
      </c>
      <c r="AD70" s="22" t="str">
        <f t="shared" ca="1" si="26"/>
        <v/>
      </c>
      <c r="AE70" s="22" t="str">
        <f t="shared" ca="1" si="26"/>
        <v/>
      </c>
      <c r="AF70" s="22" t="str">
        <f t="shared" ca="1" si="26"/>
        <v/>
      </c>
      <c r="AG70" s="22" t="str">
        <f t="shared" ca="1" si="26"/>
        <v/>
      </c>
      <c r="AH70" s="23" t="str">
        <f t="shared" ca="1" si="26"/>
        <v/>
      </c>
      <c r="AJ70" s="12">
        <f t="shared" ca="1" si="18"/>
        <v>50.61904761904762</v>
      </c>
      <c r="AK70" s="51">
        <f t="shared" ca="1" si="2"/>
        <v>11.97</v>
      </c>
      <c r="AL70" s="16">
        <f t="shared" ca="1" si="3"/>
        <v>62.589047619047619</v>
      </c>
      <c r="AM70" s="16">
        <f t="shared" ca="1" si="4"/>
        <v>38.649047619047622</v>
      </c>
      <c r="AN70" s="10" t="e">
        <f t="shared" ca="1" si="5"/>
        <v>#N/A</v>
      </c>
      <c r="AO70" s="10" t="e">
        <f t="shared" ca="1" si="6"/>
        <v>#N/A</v>
      </c>
      <c r="AP70" s="10" t="e">
        <f t="shared" ca="1" si="7"/>
        <v>#N/A</v>
      </c>
      <c r="AQ70" s="10" t="e">
        <f t="shared" si="8"/>
        <v>#N/A</v>
      </c>
      <c r="AR70" s="10" t="e">
        <f t="shared" si="8"/>
        <v>#N/A</v>
      </c>
      <c r="BC70" s="29"/>
    </row>
    <row r="71" spans="2:60" x14ac:dyDescent="0.25">
      <c r="B71" s="41" t="e">
        <f>IF('Your data source'!B49="",NA(),'Your data source'!B49)</f>
        <v>#N/A</v>
      </c>
      <c r="C71" s="65" t="e">
        <f>IF('Your data source'!C49="",NA(),'Your data source'!C49)</f>
        <v>#N/A</v>
      </c>
      <c r="D71" s="63"/>
      <c r="E71" s="39"/>
      <c r="F71" s="60"/>
      <c r="G71" s="42" t="str">
        <f t="shared" si="15"/>
        <v/>
      </c>
      <c r="H71" s="45">
        <f t="shared" ca="1" si="9"/>
        <v>51</v>
      </c>
      <c r="I71" s="36">
        <f t="shared" ca="1" si="10"/>
        <v>0</v>
      </c>
      <c r="J71" s="36">
        <f t="shared" ca="1" si="11"/>
        <v>0</v>
      </c>
      <c r="L71" s="1">
        <f t="shared" ca="1" si="12"/>
        <v>1</v>
      </c>
      <c r="N71" s="21" t="str">
        <f t="shared" ca="1" si="25"/>
        <v/>
      </c>
      <c r="O71" s="22" t="str">
        <f t="shared" ca="1" si="25"/>
        <v/>
      </c>
      <c r="P71" s="22" t="str">
        <f t="shared" ca="1" si="25"/>
        <v/>
      </c>
      <c r="Q71" s="22" t="str">
        <f t="shared" ca="1" si="25"/>
        <v/>
      </c>
      <c r="R71" s="22" t="str">
        <f t="shared" ca="1" si="25"/>
        <v/>
      </c>
      <c r="S71" s="22" t="str">
        <f t="shared" ca="1" si="25"/>
        <v/>
      </c>
      <c r="T71" s="22" t="str">
        <f t="shared" ca="1" si="25"/>
        <v/>
      </c>
      <c r="U71" s="22" t="str">
        <f t="shared" ca="1" si="25"/>
        <v/>
      </c>
      <c r="V71" s="22" t="str">
        <f t="shared" ca="1" si="25"/>
        <v/>
      </c>
      <c r="W71" s="23" t="str">
        <f t="shared" ca="1" si="25"/>
        <v/>
      </c>
      <c r="Y71" s="21" t="str">
        <f t="shared" ca="1" si="26"/>
        <v/>
      </c>
      <c r="Z71" s="22" t="str">
        <f t="shared" ca="1" si="26"/>
        <v/>
      </c>
      <c r="AA71" s="22" t="str">
        <f t="shared" ca="1" si="26"/>
        <v/>
      </c>
      <c r="AB71" s="22" t="str">
        <f t="shared" ca="1" si="26"/>
        <v/>
      </c>
      <c r="AC71" s="22" t="str">
        <f t="shared" ca="1" si="26"/>
        <v/>
      </c>
      <c r="AD71" s="22" t="str">
        <f t="shared" ca="1" si="26"/>
        <v/>
      </c>
      <c r="AE71" s="22" t="str">
        <f t="shared" ca="1" si="26"/>
        <v/>
      </c>
      <c r="AF71" s="22" t="str">
        <f t="shared" ca="1" si="26"/>
        <v/>
      </c>
      <c r="AG71" s="22" t="str">
        <f t="shared" ca="1" si="26"/>
        <v/>
      </c>
      <c r="AH71" s="23" t="str">
        <f t="shared" ca="1" si="26"/>
        <v/>
      </c>
      <c r="AJ71" s="12">
        <f t="shared" ca="1" si="18"/>
        <v>50.61904761904762</v>
      </c>
      <c r="AK71" s="51">
        <f t="shared" ca="1" si="2"/>
        <v>11.97</v>
      </c>
      <c r="AL71" s="16">
        <f t="shared" ca="1" si="3"/>
        <v>62.589047619047619</v>
      </c>
      <c r="AM71" s="16">
        <f t="shared" ca="1" si="4"/>
        <v>38.649047619047622</v>
      </c>
      <c r="AN71" s="10" t="e">
        <f t="shared" ca="1" si="5"/>
        <v>#N/A</v>
      </c>
      <c r="AO71" s="10" t="e">
        <f t="shared" ca="1" si="6"/>
        <v>#N/A</v>
      </c>
      <c r="AP71" s="10" t="e">
        <f t="shared" ca="1" si="7"/>
        <v>#N/A</v>
      </c>
      <c r="AQ71" s="10" t="e">
        <f t="shared" si="8"/>
        <v>#N/A</v>
      </c>
      <c r="AR71" s="10" t="e">
        <f t="shared" si="8"/>
        <v>#N/A</v>
      </c>
      <c r="BC71" s="29"/>
    </row>
    <row r="72" spans="2:60" x14ac:dyDescent="0.25">
      <c r="B72" s="41" t="e">
        <f>IF('Your data source'!B50="",NA(),'Your data source'!B50)</f>
        <v>#N/A</v>
      </c>
      <c r="C72" s="65" t="e">
        <f>IF('Your data source'!C50="",NA(),'Your data source'!C50)</f>
        <v>#N/A</v>
      </c>
      <c r="D72" s="63"/>
      <c r="E72" s="39"/>
      <c r="F72" s="60"/>
      <c r="G72" s="42" t="str">
        <f t="shared" si="15"/>
        <v/>
      </c>
      <c r="H72" s="45">
        <f t="shared" ca="1" si="9"/>
        <v>51</v>
      </c>
      <c r="I72" s="36">
        <f t="shared" ca="1" si="10"/>
        <v>0</v>
      </c>
      <c r="J72" s="36">
        <f t="shared" ca="1" si="11"/>
        <v>0</v>
      </c>
      <c r="L72" s="1">
        <f t="shared" ca="1" si="12"/>
        <v>1</v>
      </c>
      <c r="N72" s="21" t="str">
        <f t="shared" ca="1" si="25"/>
        <v/>
      </c>
      <c r="O72" s="22" t="str">
        <f t="shared" ca="1" si="25"/>
        <v/>
      </c>
      <c r="P72" s="22" t="str">
        <f t="shared" ca="1" si="25"/>
        <v/>
      </c>
      <c r="Q72" s="22" t="str">
        <f t="shared" ca="1" si="25"/>
        <v/>
      </c>
      <c r="R72" s="22" t="str">
        <f t="shared" ca="1" si="25"/>
        <v/>
      </c>
      <c r="S72" s="22" t="str">
        <f t="shared" ca="1" si="25"/>
        <v/>
      </c>
      <c r="T72" s="22" t="str">
        <f t="shared" ca="1" si="25"/>
        <v/>
      </c>
      <c r="U72" s="22" t="str">
        <f t="shared" ca="1" si="25"/>
        <v/>
      </c>
      <c r="V72" s="22" t="str">
        <f t="shared" ca="1" si="25"/>
        <v/>
      </c>
      <c r="W72" s="23" t="str">
        <f t="shared" ca="1" si="25"/>
        <v/>
      </c>
      <c r="Y72" s="21" t="str">
        <f t="shared" ca="1" si="26"/>
        <v/>
      </c>
      <c r="Z72" s="22" t="str">
        <f t="shared" ca="1" si="26"/>
        <v/>
      </c>
      <c r="AA72" s="22" t="str">
        <f t="shared" ca="1" si="26"/>
        <v/>
      </c>
      <c r="AB72" s="22" t="str">
        <f t="shared" ca="1" si="26"/>
        <v/>
      </c>
      <c r="AC72" s="22" t="str">
        <f t="shared" ca="1" si="26"/>
        <v/>
      </c>
      <c r="AD72" s="22" t="str">
        <f t="shared" ca="1" si="26"/>
        <v/>
      </c>
      <c r="AE72" s="22" t="str">
        <f t="shared" ca="1" si="26"/>
        <v/>
      </c>
      <c r="AF72" s="22" t="str">
        <f t="shared" ca="1" si="26"/>
        <v/>
      </c>
      <c r="AG72" s="22" t="str">
        <f t="shared" ca="1" si="26"/>
        <v/>
      </c>
      <c r="AH72" s="23" t="str">
        <f t="shared" ca="1" si="26"/>
        <v/>
      </c>
      <c r="AJ72" s="12">
        <f t="shared" ca="1" si="18"/>
        <v>50.61904761904762</v>
      </c>
      <c r="AK72" s="51">
        <f t="shared" ca="1" si="2"/>
        <v>11.97</v>
      </c>
      <c r="AL72" s="16">
        <f t="shared" ca="1" si="3"/>
        <v>62.589047619047619</v>
      </c>
      <c r="AM72" s="16">
        <f t="shared" ca="1" si="4"/>
        <v>38.649047619047622</v>
      </c>
      <c r="AN72" s="10" t="e">
        <f t="shared" ca="1" si="5"/>
        <v>#N/A</v>
      </c>
      <c r="AO72" s="10" t="e">
        <f t="shared" ca="1" si="6"/>
        <v>#N/A</v>
      </c>
      <c r="AP72" s="10" t="e">
        <f t="shared" ca="1" si="7"/>
        <v>#N/A</v>
      </c>
      <c r="AQ72" s="10" t="e">
        <f t="shared" si="8"/>
        <v>#N/A</v>
      </c>
      <c r="AR72" s="10" t="e">
        <f t="shared" si="8"/>
        <v>#N/A</v>
      </c>
      <c r="BC72" s="29"/>
    </row>
    <row r="73" spans="2:60" x14ac:dyDescent="0.25">
      <c r="B73" s="41" t="e">
        <f>IF('Your data source'!B51="",NA(),'Your data source'!B51)</f>
        <v>#N/A</v>
      </c>
      <c r="C73" s="65" t="e">
        <f>IF('Your data source'!C51="",NA(),'Your data source'!C51)</f>
        <v>#N/A</v>
      </c>
      <c r="D73" s="63"/>
      <c r="E73" s="39"/>
      <c r="F73" s="60"/>
      <c r="G73" s="42" t="str">
        <f t="shared" si="15"/>
        <v/>
      </c>
      <c r="H73" s="45">
        <f t="shared" ca="1" si="9"/>
        <v>51</v>
      </c>
      <c r="I73" s="36">
        <f t="shared" ca="1" si="10"/>
        <v>0</v>
      </c>
      <c r="J73" s="36">
        <f t="shared" ca="1" si="11"/>
        <v>0</v>
      </c>
      <c r="L73" s="1">
        <f t="shared" ca="1" si="12"/>
        <v>1</v>
      </c>
      <c r="N73" s="21" t="str">
        <f t="shared" ca="1" si="25"/>
        <v/>
      </c>
      <c r="O73" s="22" t="str">
        <f t="shared" ca="1" si="25"/>
        <v/>
      </c>
      <c r="P73" s="22" t="str">
        <f t="shared" ca="1" si="25"/>
        <v/>
      </c>
      <c r="Q73" s="22" t="str">
        <f t="shared" ca="1" si="25"/>
        <v/>
      </c>
      <c r="R73" s="22" t="str">
        <f t="shared" ca="1" si="25"/>
        <v/>
      </c>
      <c r="S73" s="22" t="str">
        <f t="shared" ca="1" si="25"/>
        <v/>
      </c>
      <c r="T73" s="22" t="str">
        <f t="shared" ca="1" si="25"/>
        <v/>
      </c>
      <c r="U73" s="22" t="str">
        <f t="shared" ca="1" si="25"/>
        <v/>
      </c>
      <c r="V73" s="22" t="str">
        <f t="shared" ca="1" si="25"/>
        <v/>
      </c>
      <c r="W73" s="23" t="str">
        <f t="shared" ca="1" si="25"/>
        <v/>
      </c>
      <c r="Y73" s="21" t="str">
        <f t="shared" ca="1" si="26"/>
        <v/>
      </c>
      <c r="Z73" s="22" t="str">
        <f t="shared" ca="1" si="26"/>
        <v/>
      </c>
      <c r="AA73" s="22" t="str">
        <f t="shared" ca="1" si="26"/>
        <v/>
      </c>
      <c r="AB73" s="22" t="str">
        <f t="shared" ca="1" si="26"/>
        <v/>
      </c>
      <c r="AC73" s="22" t="str">
        <f t="shared" ca="1" si="26"/>
        <v/>
      </c>
      <c r="AD73" s="22" t="str">
        <f t="shared" ca="1" si="26"/>
        <v/>
      </c>
      <c r="AE73" s="22" t="str">
        <f t="shared" ca="1" si="26"/>
        <v/>
      </c>
      <c r="AF73" s="22" t="str">
        <f t="shared" ca="1" si="26"/>
        <v/>
      </c>
      <c r="AG73" s="22" t="str">
        <f t="shared" ca="1" si="26"/>
        <v/>
      </c>
      <c r="AH73" s="23" t="str">
        <f t="shared" ca="1" si="26"/>
        <v/>
      </c>
      <c r="AJ73" s="12">
        <f t="shared" ca="1" si="18"/>
        <v>50.61904761904762</v>
      </c>
      <c r="AK73" s="51">
        <f t="shared" ca="1" si="2"/>
        <v>11.97</v>
      </c>
      <c r="AL73" s="16">
        <f t="shared" ca="1" si="3"/>
        <v>62.589047619047619</v>
      </c>
      <c r="AM73" s="16">
        <f t="shared" ca="1" si="4"/>
        <v>38.649047619047622</v>
      </c>
      <c r="AN73" s="10" t="e">
        <f t="shared" ca="1" si="5"/>
        <v>#N/A</v>
      </c>
      <c r="AO73" s="10" t="e">
        <f t="shared" ca="1" si="6"/>
        <v>#N/A</v>
      </c>
      <c r="AP73" s="10" t="e">
        <f t="shared" ca="1" si="7"/>
        <v>#N/A</v>
      </c>
      <c r="AQ73" s="10" t="e">
        <f t="shared" si="8"/>
        <v>#N/A</v>
      </c>
      <c r="AR73" s="10" t="e">
        <f t="shared" si="8"/>
        <v>#N/A</v>
      </c>
      <c r="BC73" s="29"/>
    </row>
    <row r="74" spans="2:60" x14ac:dyDescent="0.25">
      <c r="B74" s="41" t="e">
        <f>IF('Your data source'!B52="",NA(),'Your data source'!B52)</f>
        <v>#N/A</v>
      </c>
      <c r="C74" s="65" t="e">
        <f>IF('Your data source'!C52="",NA(),'Your data source'!C52)</f>
        <v>#N/A</v>
      </c>
      <c r="D74" s="63"/>
      <c r="E74" s="39"/>
      <c r="F74" s="60"/>
      <c r="G74" s="42" t="str">
        <f t="shared" si="15"/>
        <v/>
      </c>
      <c r="H74" s="45">
        <f t="shared" ca="1" si="9"/>
        <v>51</v>
      </c>
      <c r="I74" s="36">
        <f t="shared" ca="1" si="10"/>
        <v>0</v>
      </c>
      <c r="J74" s="36">
        <f t="shared" ca="1" si="11"/>
        <v>0</v>
      </c>
      <c r="L74" s="1">
        <f t="shared" ca="1" si="12"/>
        <v>1</v>
      </c>
      <c r="N74" s="21" t="str">
        <f t="shared" ca="1" si="25"/>
        <v/>
      </c>
      <c r="O74" s="22" t="str">
        <f t="shared" ca="1" si="25"/>
        <v/>
      </c>
      <c r="P74" s="22" t="str">
        <f t="shared" ca="1" si="25"/>
        <v/>
      </c>
      <c r="Q74" s="22" t="str">
        <f t="shared" ca="1" si="25"/>
        <v/>
      </c>
      <c r="R74" s="22" t="str">
        <f t="shared" ca="1" si="25"/>
        <v/>
      </c>
      <c r="S74" s="22" t="str">
        <f t="shared" ca="1" si="25"/>
        <v/>
      </c>
      <c r="T74" s="22" t="str">
        <f t="shared" ca="1" si="25"/>
        <v/>
      </c>
      <c r="U74" s="22" t="str">
        <f t="shared" ca="1" si="25"/>
        <v/>
      </c>
      <c r="V74" s="22" t="str">
        <f t="shared" ca="1" si="25"/>
        <v/>
      </c>
      <c r="W74" s="23" t="str">
        <f t="shared" ca="1" si="25"/>
        <v/>
      </c>
      <c r="Y74" s="21" t="str">
        <f t="shared" ca="1" si="26"/>
        <v/>
      </c>
      <c r="Z74" s="22" t="str">
        <f t="shared" ca="1" si="26"/>
        <v/>
      </c>
      <c r="AA74" s="22" t="str">
        <f t="shared" ca="1" si="26"/>
        <v/>
      </c>
      <c r="AB74" s="22" t="str">
        <f t="shared" ca="1" si="26"/>
        <v/>
      </c>
      <c r="AC74" s="22" t="str">
        <f t="shared" ca="1" si="26"/>
        <v/>
      </c>
      <c r="AD74" s="22" t="str">
        <f t="shared" ca="1" si="26"/>
        <v/>
      </c>
      <c r="AE74" s="22" t="str">
        <f t="shared" ca="1" si="26"/>
        <v/>
      </c>
      <c r="AF74" s="22" t="str">
        <f t="shared" ca="1" si="26"/>
        <v/>
      </c>
      <c r="AG74" s="22" t="str">
        <f t="shared" ca="1" si="26"/>
        <v/>
      </c>
      <c r="AH74" s="23" t="str">
        <f t="shared" ca="1" si="26"/>
        <v/>
      </c>
      <c r="AJ74" s="12">
        <f t="shared" ca="1" si="18"/>
        <v>50.61904761904762</v>
      </c>
      <c r="AK74" s="51">
        <f t="shared" ca="1" si="2"/>
        <v>11.97</v>
      </c>
      <c r="AL74" s="16">
        <f t="shared" ca="1" si="3"/>
        <v>62.589047619047619</v>
      </c>
      <c r="AM74" s="16">
        <f t="shared" ca="1" si="4"/>
        <v>38.649047619047622</v>
      </c>
      <c r="AN74" s="10" t="e">
        <f t="shared" ca="1" si="5"/>
        <v>#N/A</v>
      </c>
      <c r="AO74" s="10" t="e">
        <f t="shared" ca="1" si="6"/>
        <v>#N/A</v>
      </c>
      <c r="AP74" s="10" t="e">
        <f t="shared" ca="1" si="7"/>
        <v>#N/A</v>
      </c>
      <c r="AQ74" s="10" t="e">
        <f t="shared" si="8"/>
        <v>#N/A</v>
      </c>
      <c r="AR74" s="10" t="e">
        <f t="shared" si="8"/>
        <v>#N/A</v>
      </c>
      <c r="BC74" s="29"/>
    </row>
    <row r="75" spans="2:60" x14ac:dyDescent="0.25">
      <c r="B75" s="41" t="e">
        <f>IF('Your data source'!B53="",NA(),'Your data source'!B53)</f>
        <v>#N/A</v>
      </c>
      <c r="C75" s="65" t="e">
        <f>IF('Your data source'!C53="",NA(),'Your data source'!C53)</f>
        <v>#N/A</v>
      </c>
      <c r="D75" s="63"/>
      <c r="E75" s="63">
        <v>60</v>
      </c>
      <c r="F75" s="60"/>
      <c r="G75" s="42" t="str">
        <f t="shared" si="15"/>
        <v/>
      </c>
      <c r="H75" s="45">
        <f t="shared" ca="1" si="9"/>
        <v>51</v>
      </c>
      <c r="I75" s="36">
        <f t="shared" ca="1" si="10"/>
        <v>0</v>
      </c>
      <c r="J75" s="36">
        <f t="shared" ca="1" si="11"/>
        <v>0</v>
      </c>
      <c r="L75" s="1">
        <f t="shared" ca="1" si="12"/>
        <v>1</v>
      </c>
      <c r="N75" s="21" t="str">
        <f t="shared" ref="N75:W90" ca="1" si="27">IF(ISNUMBER($C75),IF($G75&lt;=$C$9,IF($L75=N$25,$C75,""),IF(COUNT(INDIRECT(ADDRESS(ROW(N$26),COLUMN())&amp;":"&amp;ADDRESS(ROW()-1,COLUMN())))&gt;$C$13,"",IF($L75=N$25,$C75,""))),"")</f>
        <v/>
      </c>
      <c r="O75" s="22" t="str">
        <f t="shared" ca="1" si="27"/>
        <v/>
      </c>
      <c r="P75" s="22" t="str">
        <f t="shared" ca="1" si="27"/>
        <v/>
      </c>
      <c r="Q75" s="22" t="str">
        <f t="shared" ca="1" si="27"/>
        <v/>
      </c>
      <c r="R75" s="22" t="str">
        <f t="shared" ca="1" si="27"/>
        <v/>
      </c>
      <c r="S75" s="22" t="str">
        <f t="shared" ca="1" si="27"/>
        <v/>
      </c>
      <c r="T75" s="22" t="str">
        <f t="shared" ca="1" si="27"/>
        <v/>
      </c>
      <c r="U75" s="22" t="str">
        <f t="shared" ca="1" si="27"/>
        <v/>
      </c>
      <c r="V75" s="22" t="str">
        <f t="shared" ca="1" si="27"/>
        <v/>
      </c>
      <c r="W75" s="23" t="str">
        <f t="shared" ca="1" si="27"/>
        <v/>
      </c>
      <c r="Y75" s="21" t="str">
        <f t="shared" ca="1" si="26"/>
        <v/>
      </c>
      <c r="Z75" s="22" t="str">
        <f t="shared" ca="1" si="26"/>
        <v/>
      </c>
      <c r="AA75" s="22" t="str">
        <f t="shared" ca="1" si="26"/>
        <v/>
      </c>
      <c r="AB75" s="22" t="str">
        <f t="shared" ca="1" si="26"/>
        <v/>
      </c>
      <c r="AC75" s="22" t="str">
        <f t="shared" ca="1" si="26"/>
        <v/>
      </c>
      <c r="AD75" s="22" t="str">
        <f t="shared" ca="1" si="26"/>
        <v/>
      </c>
      <c r="AE75" s="22" t="str">
        <f t="shared" ca="1" si="26"/>
        <v/>
      </c>
      <c r="AF75" s="22" t="str">
        <f t="shared" ca="1" si="26"/>
        <v/>
      </c>
      <c r="AG75" s="22" t="str">
        <f t="shared" ca="1" si="26"/>
        <v/>
      </c>
      <c r="AH75" s="23" t="str">
        <f t="shared" ca="1" si="26"/>
        <v/>
      </c>
      <c r="AJ75" s="12">
        <f t="shared" ca="1" si="18"/>
        <v>50.61904761904762</v>
      </c>
      <c r="AK75" s="51">
        <f t="shared" ca="1" si="2"/>
        <v>11.97</v>
      </c>
      <c r="AL75" s="16">
        <f t="shared" ca="1" si="3"/>
        <v>62.589047619047619</v>
      </c>
      <c r="AM75" s="16">
        <f t="shared" ca="1" si="4"/>
        <v>38.649047619047622</v>
      </c>
      <c r="AN75" s="10" t="e">
        <f t="shared" ca="1" si="5"/>
        <v>#N/A</v>
      </c>
      <c r="AO75" s="10" t="e">
        <f t="shared" ca="1" si="6"/>
        <v>#N/A</v>
      </c>
      <c r="AP75" s="10" t="e">
        <f t="shared" ca="1" si="7"/>
        <v>#N/A</v>
      </c>
      <c r="AQ75" s="10" t="e">
        <f t="shared" si="8"/>
        <v>#N/A</v>
      </c>
      <c r="AR75" s="10">
        <f t="shared" si="8"/>
        <v>60</v>
      </c>
      <c r="BC75" s="29"/>
    </row>
    <row r="76" spans="2:60" x14ac:dyDescent="0.25">
      <c r="B76" s="41"/>
      <c r="C76" s="58"/>
      <c r="D76" s="63"/>
      <c r="E76" s="39"/>
      <c r="F76" s="60"/>
      <c r="G76" s="42" t="str">
        <f t="shared" si="15"/>
        <v/>
      </c>
      <c r="H76" s="45">
        <f t="shared" ca="1" si="9"/>
        <v>51</v>
      </c>
      <c r="I76" s="36">
        <f t="shared" ca="1" si="10"/>
        <v>0</v>
      </c>
      <c r="J76" s="36">
        <f t="shared" ca="1" si="11"/>
        <v>0</v>
      </c>
      <c r="L76" s="1">
        <f t="shared" ca="1" si="12"/>
        <v>0</v>
      </c>
      <c r="N76" s="21" t="str">
        <f t="shared" ca="1" si="27"/>
        <v/>
      </c>
      <c r="O76" s="22" t="str">
        <f t="shared" ca="1" si="27"/>
        <v/>
      </c>
      <c r="P76" s="22" t="str">
        <f t="shared" ca="1" si="27"/>
        <v/>
      </c>
      <c r="Q76" s="22" t="str">
        <f t="shared" ca="1" si="27"/>
        <v/>
      </c>
      <c r="R76" s="22" t="str">
        <f t="shared" ca="1" si="27"/>
        <v/>
      </c>
      <c r="S76" s="22" t="str">
        <f t="shared" ca="1" si="27"/>
        <v/>
      </c>
      <c r="T76" s="22" t="str">
        <f t="shared" ca="1" si="27"/>
        <v/>
      </c>
      <c r="U76" s="22" t="str">
        <f t="shared" ca="1" si="27"/>
        <v/>
      </c>
      <c r="V76" s="22" t="str">
        <f t="shared" ca="1" si="27"/>
        <v/>
      </c>
      <c r="W76" s="23" t="str">
        <f t="shared" ca="1" si="27"/>
        <v/>
      </c>
      <c r="Y76" s="21" t="str">
        <f t="shared" ca="1" si="26"/>
        <v/>
      </c>
      <c r="Z76" s="22" t="str">
        <f t="shared" ca="1" si="26"/>
        <v/>
      </c>
      <c r="AA76" s="22" t="str">
        <f t="shared" ca="1" si="26"/>
        <v/>
      </c>
      <c r="AB76" s="22" t="str">
        <f t="shared" ca="1" si="26"/>
        <v/>
      </c>
      <c r="AC76" s="22" t="str">
        <f t="shared" ca="1" si="26"/>
        <v/>
      </c>
      <c r="AD76" s="22" t="str">
        <f t="shared" ca="1" si="26"/>
        <v/>
      </c>
      <c r="AE76" s="22" t="str">
        <f t="shared" ca="1" si="26"/>
        <v/>
      </c>
      <c r="AF76" s="22" t="str">
        <f t="shared" ca="1" si="26"/>
        <v/>
      </c>
      <c r="AG76" s="22" t="str">
        <f t="shared" ca="1" si="26"/>
        <v/>
      </c>
      <c r="AH76" s="23" t="str">
        <f t="shared" ca="1" si="26"/>
        <v/>
      </c>
      <c r="AJ76" s="12" t="e">
        <f t="shared" si="18"/>
        <v>#N/A</v>
      </c>
      <c r="AK76" s="51" t="e">
        <f t="shared" si="2"/>
        <v>#N/A</v>
      </c>
      <c r="AL76" s="16" t="e">
        <f t="shared" si="3"/>
        <v>#N/A</v>
      </c>
      <c r="AM76" s="16" t="e">
        <f t="shared" si="4"/>
        <v>#N/A</v>
      </c>
      <c r="AN76" s="10" t="e">
        <f t="shared" ca="1" si="5"/>
        <v>#N/A</v>
      </c>
      <c r="AO76" s="10" t="e">
        <f t="shared" ca="1" si="6"/>
        <v>#N/A</v>
      </c>
      <c r="AP76" s="10" t="e">
        <f t="shared" si="7"/>
        <v>#N/A</v>
      </c>
      <c r="AQ76" s="10" t="e">
        <f t="shared" si="8"/>
        <v>#N/A</v>
      </c>
      <c r="AR76" s="10" t="e">
        <f t="shared" si="8"/>
        <v>#N/A</v>
      </c>
      <c r="BC76" s="29"/>
    </row>
    <row r="77" spans="2:60" x14ac:dyDescent="0.25">
      <c r="B77" s="41"/>
      <c r="C77" s="58"/>
      <c r="D77" s="63"/>
      <c r="E77" s="39"/>
      <c r="F77" s="60"/>
      <c r="G77" s="42" t="str">
        <f t="shared" si="15"/>
        <v/>
      </c>
      <c r="H77" s="45">
        <f t="shared" ca="1" si="9"/>
        <v>51</v>
      </c>
      <c r="I77" s="36">
        <f t="shared" ca="1" si="10"/>
        <v>0</v>
      </c>
      <c r="J77" s="36">
        <f t="shared" ca="1" si="11"/>
        <v>0</v>
      </c>
      <c r="L77" s="1">
        <f t="shared" ca="1" si="12"/>
        <v>0</v>
      </c>
      <c r="N77" s="21" t="str">
        <f t="shared" ca="1" si="27"/>
        <v/>
      </c>
      <c r="O77" s="22" t="str">
        <f t="shared" ca="1" si="27"/>
        <v/>
      </c>
      <c r="P77" s="22" t="str">
        <f t="shared" ca="1" si="27"/>
        <v/>
      </c>
      <c r="Q77" s="22" t="str">
        <f t="shared" ca="1" si="27"/>
        <v/>
      </c>
      <c r="R77" s="22" t="str">
        <f t="shared" ca="1" si="27"/>
        <v/>
      </c>
      <c r="S77" s="22" t="str">
        <f t="shared" ca="1" si="27"/>
        <v/>
      </c>
      <c r="T77" s="22" t="str">
        <f t="shared" ca="1" si="27"/>
        <v/>
      </c>
      <c r="U77" s="22" t="str">
        <f t="shared" ca="1" si="27"/>
        <v/>
      </c>
      <c r="V77" s="22" t="str">
        <f t="shared" ca="1" si="27"/>
        <v/>
      </c>
      <c r="W77" s="23" t="str">
        <f t="shared" ca="1" si="27"/>
        <v/>
      </c>
      <c r="Y77" s="21" t="str">
        <f t="shared" ca="1" si="26"/>
        <v/>
      </c>
      <c r="Z77" s="22" t="str">
        <f t="shared" ca="1" si="26"/>
        <v/>
      </c>
      <c r="AA77" s="22" t="str">
        <f t="shared" ca="1" si="26"/>
        <v/>
      </c>
      <c r="AB77" s="22" t="str">
        <f t="shared" ca="1" si="26"/>
        <v/>
      </c>
      <c r="AC77" s="22" t="str">
        <f t="shared" ca="1" si="26"/>
        <v/>
      </c>
      <c r="AD77" s="22" t="str">
        <f t="shared" ca="1" si="26"/>
        <v/>
      </c>
      <c r="AE77" s="22" t="str">
        <f t="shared" ca="1" si="26"/>
        <v/>
      </c>
      <c r="AF77" s="22" t="str">
        <f t="shared" ca="1" si="26"/>
        <v/>
      </c>
      <c r="AG77" s="22" t="str">
        <f t="shared" ca="1" si="26"/>
        <v/>
      </c>
      <c r="AH77" s="23" t="str">
        <f t="shared" ca="1" si="26"/>
        <v/>
      </c>
      <c r="AJ77" s="12" t="e">
        <f t="shared" si="18"/>
        <v>#N/A</v>
      </c>
      <c r="AK77" s="51" t="e">
        <f t="shared" si="2"/>
        <v>#N/A</v>
      </c>
      <c r="AL77" s="16" t="e">
        <f t="shared" si="3"/>
        <v>#N/A</v>
      </c>
      <c r="AM77" s="16" t="e">
        <f t="shared" si="4"/>
        <v>#N/A</v>
      </c>
      <c r="AN77" s="10" t="e">
        <f t="shared" ca="1" si="5"/>
        <v>#N/A</v>
      </c>
      <c r="AO77" s="10" t="e">
        <f t="shared" ca="1" si="6"/>
        <v>#N/A</v>
      </c>
      <c r="AP77" s="10" t="e">
        <f t="shared" si="7"/>
        <v>#N/A</v>
      </c>
      <c r="AQ77" s="10" t="e">
        <f t="shared" si="8"/>
        <v>#N/A</v>
      </c>
      <c r="AR77" s="10" t="e">
        <f t="shared" si="8"/>
        <v>#N/A</v>
      </c>
      <c r="BC77" s="29"/>
    </row>
    <row r="78" spans="2:60" x14ac:dyDescent="0.25">
      <c r="B78" s="41"/>
      <c r="C78" s="58"/>
      <c r="D78" s="63"/>
      <c r="E78" s="39"/>
      <c r="F78" s="60"/>
      <c r="G78" s="42" t="str">
        <f t="shared" si="15"/>
        <v/>
      </c>
      <c r="H78" s="45">
        <f t="shared" ca="1" si="9"/>
        <v>51</v>
      </c>
      <c r="I78" s="36">
        <f t="shared" ca="1" si="10"/>
        <v>0</v>
      </c>
      <c r="J78" s="36">
        <f t="shared" ca="1" si="11"/>
        <v>0</v>
      </c>
      <c r="L78" s="1">
        <f t="shared" ca="1" si="12"/>
        <v>0</v>
      </c>
      <c r="N78" s="21" t="str">
        <f t="shared" ca="1" si="27"/>
        <v/>
      </c>
      <c r="O78" s="22" t="str">
        <f t="shared" ca="1" si="27"/>
        <v/>
      </c>
      <c r="P78" s="22" t="str">
        <f t="shared" ca="1" si="27"/>
        <v/>
      </c>
      <c r="Q78" s="22" t="str">
        <f t="shared" ca="1" si="27"/>
        <v/>
      </c>
      <c r="R78" s="22" t="str">
        <f t="shared" ca="1" si="27"/>
        <v/>
      </c>
      <c r="S78" s="22" t="str">
        <f t="shared" ca="1" si="27"/>
        <v/>
      </c>
      <c r="T78" s="22" t="str">
        <f t="shared" ca="1" si="27"/>
        <v/>
      </c>
      <c r="U78" s="22" t="str">
        <f t="shared" ca="1" si="27"/>
        <v/>
      </c>
      <c r="V78" s="22" t="str">
        <f t="shared" ca="1" si="27"/>
        <v/>
      </c>
      <c r="W78" s="23" t="str">
        <f t="shared" ca="1" si="27"/>
        <v/>
      </c>
      <c r="Y78" s="21" t="str">
        <f t="shared" ca="1" si="26"/>
        <v/>
      </c>
      <c r="Z78" s="22" t="str">
        <f t="shared" ca="1" si="26"/>
        <v/>
      </c>
      <c r="AA78" s="22" t="str">
        <f t="shared" ca="1" si="26"/>
        <v/>
      </c>
      <c r="AB78" s="22" t="str">
        <f t="shared" ca="1" si="26"/>
        <v/>
      </c>
      <c r="AC78" s="22" t="str">
        <f t="shared" ca="1" si="26"/>
        <v/>
      </c>
      <c r="AD78" s="22" t="str">
        <f t="shared" ca="1" si="26"/>
        <v/>
      </c>
      <c r="AE78" s="22" t="str">
        <f t="shared" ca="1" si="26"/>
        <v/>
      </c>
      <c r="AF78" s="22" t="str">
        <f t="shared" ca="1" si="26"/>
        <v/>
      </c>
      <c r="AG78" s="22" t="str">
        <f t="shared" ca="1" si="26"/>
        <v/>
      </c>
      <c r="AH78" s="23" t="str">
        <f t="shared" ca="1" si="26"/>
        <v/>
      </c>
      <c r="AJ78" s="12" t="e">
        <f t="shared" si="18"/>
        <v>#N/A</v>
      </c>
      <c r="AK78" s="51" t="e">
        <f t="shared" si="2"/>
        <v>#N/A</v>
      </c>
      <c r="AL78" s="16" t="e">
        <f t="shared" si="3"/>
        <v>#N/A</v>
      </c>
      <c r="AM78" s="16" t="e">
        <f t="shared" si="4"/>
        <v>#N/A</v>
      </c>
      <c r="AN78" s="10" t="e">
        <f t="shared" ca="1" si="5"/>
        <v>#N/A</v>
      </c>
      <c r="AO78" s="10" t="e">
        <f t="shared" ca="1" si="6"/>
        <v>#N/A</v>
      </c>
      <c r="AP78" s="10" t="e">
        <f t="shared" si="7"/>
        <v>#N/A</v>
      </c>
      <c r="AQ78" s="10" t="e">
        <f t="shared" si="8"/>
        <v>#N/A</v>
      </c>
      <c r="AR78" s="10" t="e">
        <f t="shared" si="8"/>
        <v>#N/A</v>
      </c>
      <c r="BC78" s="29"/>
    </row>
    <row r="79" spans="2:60" x14ac:dyDescent="0.25">
      <c r="B79" s="41"/>
      <c r="C79" s="58"/>
      <c r="D79" s="63"/>
      <c r="E79" s="39"/>
      <c r="F79" s="60"/>
      <c r="G79" s="42" t="str">
        <f t="shared" si="15"/>
        <v/>
      </c>
      <c r="H79" s="45">
        <f t="shared" ca="1" si="9"/>
        <v>51</v>
      </c>
      <c r="I79" s="36">
        <f t="shared" ca="1" si="10"/>
        <v>0</v>
      </c>
      <c r="J79" s="36">
        <f t="shared" ca="1" si="11"/>
        <v>0</v>
      </c>
      <c r="L79" s="1">
        <f t="shared" ca="1" si="12"/>
        <v>0</v>
      </c>
      <c r="N79" s="21" t="str">
        <f t="shared" ca="1" si="27"/>
        <v/>
      </c>
      <c r="O79" s="22" t="str">
        <f t="shared" ca="1" si="27"/>
        <v/>
      </c>
      <c r="P79" s="22" t="str">
        <f t="shared" ca="1" si="27"/>
        <v/>
      </c>
      <c r="Q79" s="22" t="str">
        <f t="shared" ca="1" si="27"/>
        <v/>
      </c>
      <c r="R79" s="22" t="str">
        <f t="shared" ca="1" si="27"/>
        <v/>
      </c>
      <c r="S79" s="22" t="str">
        <f t="shared" ca="1" si="27"/>
        <v/>
      </c>
      <c r="T79" s="22" t="str">
        <f t="shared" ca="1" si="27"/>
        <v/>
      </c>
      <c r="U79" s="22" t="str">
        <f t="shared" ca="1" si="27"/>
        <v/>
      </c>
      <c r="V79" s="22" t="str">
        <f t="shared" ca="1" si="27"/>
        <v/>
      </c>
      <c r="W79" s="23" t="str">
        <f t="shared" ca="1" si="27"/>
        <v/>
      </c>
      <c r="Y79" s="21" t="str">
        <f t="shared" ca="1" si="26"/>
        <v/>
      </c>
      <c r="Z79" s="22" t="str">
        <f t="shared" ca="1" si="26"/>
        <v/>
      </c>
      <c r="AA79" s="22" t="str">
        <f t="shared" ca="1" si="26"/>
        <v/>
      </c>
      <c r="AB79" s="22" t="str">
        <f t="shared" ca="1" si="26"/>
        <v/>
      </c>
      <c r="AC79" s="22" t="str">
        <f t="shared" ca="1" si="26"/>
        <v/>
      </c>
      <c r="AD79" s="22" t="str">
        <f t="shared" ca="1" si="26"/>
        <v/>
      </c>
      <c r="AE79" s="22" t="str">
        <f t="shared" ca="1" si="26"/>
        <v/>
      </c>
      <c r="AF79" s="22" t="str">
        <f t="shared" ca="1" si="26"/>
        <v/>
      </c>
      <c r="AG79" s="22" t="str">
        <f t="shared" ca="1" si="26"/>
        <v/>
      </c>
      <c r="AH79" s="23" t="str">
        <f t="shared" ca="1" si="26"/>
        <v/>
      </c>
      <c r="AJ79" s="12" t="e">
        <f t="shared" si="18"/>
        <v>#N/A</v>
      </c>
      <c r="AK79" s="51" t="e">
        <f t="shared" si="2"/>
        <v>#N/A</v>
      </c>
      <c r="AL79" s="16" t="e">
        <f t="shared" si="3"/>
        <v>#N/A</v>
      </c>
      <c r="AM79" s="16" t="e">
        <f t="shared" si="4"/>
        <v>#N/A</v>
      </c>
      <c r="AN79" s="10" t="e">
        <f t="shared" ca="1" si="5"/>
        <v>#N/A</v>
      </c>
      <c r="AO79" s="10" t="e">
        <f t="shared" ca="1" si="6"/>
        <v>#N/A</v>
      </c>
      <c r="AP79" s="10" t="e">
        <f t="shared" si="7"/>
        <v>#N/A</v>
      </c>
      <c r="AQ79" s="10" t="e">
        <f t="shared" si="8"/>
        <v>#N/A</v>
      </c>
      <c r="AR79" s="10" t="e">
        <f t="shared" si="8"/>
        <v>#N/A</v>
      </c>
      <c r="BC79" s="29"/>
    </row>
    <row r="80" spans="2:60" x14ac:dyDescent="0.25">
      <c r="B80" s="41"/>
      <c r="C80" s="58"/>
      <c r="D80" s="63"/>
      <c r="E80" s="39"/>
      <c r="F80" s="60"/>
      <c r="G80" s="42" t="str">
        <f t="shared" si="15"/>
        <v/>
      </c>
      <c r="H80" s="45">
        <f t="shared" ca="1" si="9"/>
        <v>51</v>
      </c>
      <c r="I80" s="36">
        <f t="shared" ca="1" si="10"/>
        <v>0</v>
      </c>
      <c r="J80" s="36">
        <f t="shared" ca="1" si="11"/>
        <v>0</v>
      </c>
      <c r="L80" s="1">
        <f t="shared" ca="1" si="12"/>
        <v>0</v>
      </c>
      <c r="N80" s="21" t="str">
        <f t="shared" ca="1" si="27"/>
        <v/>
      </c>
      <c r="O80" s="22" t="str">
        <f t="shared" ca="1" si="27"/>
        <v/>
      </c>
      <c r="P80" s="22" t="str">
        <f t="shared" ca="1" si="27"/>
        <v/>
      </c>
      <c r="Q80" s="22" t="str">
        <f t="shared" ca="1" si="27"/>
        <v/>
      </c>
      <c r="R80" s="22" t="str">
        <f t="shared" ca="1" si="27"/>
        <v/>
      </c>
      <c r="S80" s="22" t="str">
        <f t="shared" ca="1" si="27"/>
        <v/>
      </c>
      <c r="T80" s="22" t="str">
        <f t="shared" ca="1" si="27"/>
        <v/>
      </c>
      <c r="U80" s="22" t="str">
        <f t="shared" ca="1" si="27"/>
        <v/>
      </c>
      <c r="V80" s="22" t="str">
        <f t="shared" ca="1" si="27"/>
        <v/>
      </c>
      <c r="W80" s="23" t="str">
        <f t="shared" ca="1" si="27"/>
        <v/>
      </c>
      <c r="Y80" s="21" t="str">
        <f t="shared" ca="1" si="26"/>
        <v/>
      </c>
      <c r="Z80" s="22" t="str">
        <f t="shared" ca="1" si="26"/>
        <v/>
      </c>
      <c r="AA80" s="22" t="str">
        <f t="shared" ca="1" si="26"/>
        <v/>
      </c>
      <c r="AB80" s="22" t="str">
        <f t="shared" ca="1" si="26"/>
        <v/>
      </c>
      <c r="AC80" s="22" t="str">
        <f t="shared" ca="1" si="26"/>
        <v/>
      </c>
      <c r="AD80" s="22" t="str">
        <f t="shared" ca="1" si="26"/>
        <v/>
      </c>
      <c r="AE80" s="22" t="str">
        <f t="shared" ca="1" si="26"/>
        <v/>
      </c>
      <c r="AF80" s="22" t="str">
        <f t="shared" ca="1" si="26"/>
        <v/>
      </c>
      <c r="AG80" s="22" t="str">
        <f t="shared" ca="1" si="26"/>
        <v/>
      </c>
      <c r="AH80" s="23" t="str">
        <f t="shared" ca="1" si="26"/>
        <v/>
      </c>
      <c r="AJ80" s="12" t="e">
        <f t="shared" si="18"/>
        <v>#N/A</v>
      </c>
      <c r="AK80" s="51" t="e">
        <f t="shared" si="2"/>
        <v>#N/A</v>
      </c>
      <c r="AL80" s="16" t="e">
        <f t="shared" si="3"/>
        <v>#N/A</v>
      </c>
      <c r="AM80" s="16" t="e">
        <f t="shared" si="4"/>
        <v>#N/A</v>
      </c>
      <c r="AN80" s="10" t="e">
        <f t="shared" ca="1" si="5"/>
        <v>#N/A</v>
      </c>
      <c r="AO80" s="10" t="e">
        <f t="shared" ca="1" si="6"/>
        <v>#N/A</v>
      </c>
      <c r="AP80" s="10" t="e">
        <f t="shared" si="7"/>
        <v>#N/A</v>
      </c>
      <c r="AQ80" s="10" t="e">
        <f t="shared" si="8"/>
        <v>#N/A</v>
      </c>
      <c r="AR80" s="10" t="e">
        <f t="shared" si="8"/>
        <v>#N/A</v>
      </c>
      <c r="BC80" s="29"/>
    </row>
    <row r="81" spans="2:55" x14ac:dyDescent="0.25">
      <c r="B81" s="41"/>
      <c r="C81" s="58"/>
      <c r="D81" s="63"/>
      <c r="E81" s="39"/>
      <c r="F81" s="60"/>
      <c r="G81" s="42" t="str">
        <f t="shared" si="15"/>
        <v/>
      </c>
      <c r="H81" s="45">
        <f t="shared" ca="1" si="9"/>
        <v>51</v>
      </c>
      <c r="I81" s="36">
        <f t="shared" ca="1" si="10"/>
        <v>0</v>
      </c>
      <c r="J81" s="36">
        <f t="shared" ca="1" si="11"/>
        <v>0</v>
      </c>
      <c r="L81" s="1">
        <f t="shared" ca="1" si="12"/>
        <v>0</v>
      </c>
      <c r="N81" s="21" t="str">
        <f t="shared" ca="1" si="27"/>
        <v/>
      </c>
      <c r="O81" s="22" t="str">
        <f t="shared" ca="1" si="27"/>
        <v/>
      </c>
      <c r="P81" s="22" t="str">
        <f t="shared" ca="1" si="27"/>
        <v/>
      </c>
      <c r="Q81" s="22" t="str">
        <f t="shared" ca="1" si="27"/>
        <v/>
      </c>
      <c r="R81" s="22" t="str">
        <f t="shared" ca="1" si="27"/>
        <v/>
      </c>
      <c r="S81" s="22" t="str">
        <f t="shared" ca="1" si="27"/>
        <v/>
      </c>
      <c r="T81" s="22" t="str">
        <f t="shared" ca="1" si="27"/>
        <v/>
      </c>
      <c r="U81" s="22" t="str">
        <f t="shared" ca="1" si="27"/>
        <v/>
      </c>
      <c r="V81" s="22" t="str">
        <f t="shared" ca="1" si="27"/>
        <v/>
      </c>
      <c r="W81" s="23" t="str">
        <f t="shared" ca="1" si="27"/>
        <v/>
      </c>
      <c r="Y81" s="21" t="str">
        <f t="shared" ca="1" si="26"/>
        <v/>
      </c>
      <c r="Z81" s="22" t="str">
        <f t="shared" ca="1" si="26"/>
        <v/>
      </c>
      <c r="AA81" s="22" t="str">
        <f t="shared" ca="1" si="26"/>
        <v/>
      </c>
      <c r="AB81" s="22" t="str">
        <f t="shared" ca="1" si="26"/>
        <v/>
      </c>
      <c r="AC81" s="22" t="str">
        <f t="shared" ca="1" si="26"/>
        <v/>
      </c>
      <c r="AD81" s="22" t="str">
        <f t="shared" ca="1" si="26"/>
        <v/>
      </c>
      <c r="AE81" s="22" t="str">
        <f t="shared" ca="1" si="26"/>
        <v/>
      </c>
      <c r="AF81" s="22" t="str">
        <f t="shared" ca="1" si="26"/>
        <v/>
      </c>
      <c r="AG81" s="22" t="str">
        <f t="shared" ca="1" si="26"/>
        <v/>
      </c>
      <c r="AH81" s="23" t="str">
        <f t="shared" ca="1" si="26"/>
        <v/>
      </c>
      <c r="AJ81" s="12" t="e">
        <f t="shared" si="18"/>
        <v>#N/A</v>
      </c>
      <c r="AK81" s="51" t="e">
        <f t="shared" si="2"/>
        <v>#N/A</v>
      </c>
      <c r="AL81" s="16" t="e">
        <f t="shared" si="3"/>
        <v>#N/A</v>
      </c>
      <c r="AM81" s="16" t="e">
        <f t="shared" si="4"/>
        <v>#N/A</v>
      </c>
      <c r="AN81" s="10" t="e">
        <f t="shared" ca="1" si="5"/>
        <v>#N/A</v>
      </c>
      <c r="AO81" s="10" t="e">
        <f t="shared" ca="1" si="6"/>
        <v>#N/A</v>
      </c>
      <c r="AP81" s="10" t="e">
        <f t="shared" si="7"/>
        <v>#N/A</v>
      </c>
      <c r="AQ81" s="10" t="e">
        <f t="shared" si="8"/>
        <v>#N/A</v>
      </c>
      <c r="AR81" s="10" t="e">
        <f t="shared" si="8"/>
        <v>#N/A</v>
      </c>
      <c r="BC81" s="29"/>
    </row>
    <row r="82" spans="2:55" x14ac:dyDescent="0.25">
      <c r="B82" s="41"/>
      <c r="C82" s="58"/>
      <c r="D82" s="63"/>
      <c r="E82" s="39"/>
      <c r="F82" s="60"/>
      <c r="G82" s="42" t="str">
        <f t="shared" si="15"/>
        <v/>
      </c>
      <c r="H82" s="45">
        <f t="shared" ca="1" si="9"/>
        <v>51</v>
      </c>
      <c r="I82" s="36">
        <f t="shared" ca="1" si="10"/>
        <v>0</v>
      </c>
      <c r="J82" s="36">
        <f t="shared" ca="1" si="11"/>
        <v>0</v>
      </c>
      <c r="L82" s="1">
        <f t="shared" ca="1" si="12"/>
        <v>0</v>
      </c>
      <c r="N82" s="21" t="str">
        <f t="shared" ca="1" si="27"/>
        <v/>
      </c>
      <c r="O82" s="22" t="str">
        <f t="shared" ca="1" si="27"/>
        <v/>
      </c>
      <c r="P82" s="22" t="str">
        <f t="shared" ca="1" si="27"/>
        <v/>
      </c>
      <c r="Q82" s="22" t="str">
        <f t="shared" ca="1" si="27"/>
        <v/>
      </c>
      <c r="R82" s="22" t="str">
        <f t="shared" ca="1" si="27"/>
        <v/>
      </c>
      <c r="S82" s="22" t="str">
        <f t="shared" ca="1" si="27"/>
        <v/>
      </c>
      <c r="T82" s="22" t="str">
        <f t="shared" ca="1" si="27"/>
        <v/>
      </c>
      <c r="U82" s="22" t="str">
        <f t="shared" ca="1" si="27"/>
        <v/>
      </c>
      <c r="V82" s="22" t="str">
        <f t="shared" ca="1" si="27"/>
        <v/>
      </c>
      <c r="W82" s="23" t="str">
        <f t="shared" ca="1" si="27"/>
        <v/>
      </c>
      <c r="Y82" s="21" t="str">
        <f t="shared" ca="1" si="26"/>
        <v/>
      </c>
      <c r="Z82" s="22" t="str">
        <f t="shared" ca="1" si="26"/>
        <v/>
      </c>
      <c r="AA82" s="22" t="str">
        <f t="shared" ca="1" si="26"/>
        <v/>
      </c>
      <c r="AB82" s="22" t="str">
        <f t="shared" ca="1" si="26"/>
        <v/>
      </c>
      <c r="AC82" s="22" t="str">
        <f t="shared" ca="1" si="26"/>
        <v/>
      </c>
      <c r="AD82" s="22" t="str">
        <f t="shared" ca="1" si="26"/>
        <v/>
      </c>
      <c r="AE82" s="22" t="str">
        <f t="shared" ca="1" si="26"/>
        <v/>
      </c>
      <c r="AF82" s="22" t="str">
        <f t="shared" ca="1" si="26"/>
        <v/>
      </c>
      <c r="AG82" s="22" t="str">
        <f t="shared" ca="1" si="26"/>
        <v/>
      </c>
      <c r="AH82" s="23" t="str">
        <f t="shared" ca="1" si="26"/>
        <v/>
      </c>
      <c r="AJ82" s="12" t="e">
        <f t="shared" si="18"/>
        <v>#N/A</v>
      </c>
      <c r="AK82" s="51" t="e">
        <f t="shared" si="2"/>
        <v>#N/A</v>
      </c>
      <c r="AL82" s="16" t="e">
        <f t="shared" si="3"/>
        <v>#N/A</v>
      </c>
      <c r="AM82" s="16" t="e">
        <f t="shared" si="4"/>
        <v>#N/A</v>
      </c>
      <c r="AN82" s="10" t="e">
        <f t="shared" ca="1" si="5"/>
        <v>#N/A</v>
      </c>
      <c r="AO82" s="10" t="e">
        <f t="shared" ca="1" si="6"/>
        <v>#N/A</v>
      </c>
      <c r="AP82" s="10" t="e">
        <f t="shared" si="7"/>
        <v>#N/A</v>
      </c>
      <c r="AQ82" s="10" t="e">
        <f t="shared" si="8"/>
        <v>#N/A</v>
      </c>
      <c r="AR82" s="10" t="e">
        <f t="shared" si="8"/>
        <v>#N/A</v>
      </c>
      <c r="BC82" s="29"/>
    </row>
    <row r="83" spans="2:55" x14ac:dyDescent="0.25">
      <c r="B83" s="41"/>
      <c r="C83" s="58"/>
      <c r="D83" s="63"/>
      <c r="E83" s="39"/>
      <c r="F83" s="60"/>
      <c r="G83" s="42" t="str">
        <f t="shared" si="15"/>
        <v/>
      </c>
      <c r="H83" s="45">
        <f t="shared" ca="1" si="9"/>
        <v>51</v>
      </c>
      <c r="I83" s="36">
        <f t="shared" ca="1" si="10"/>
        <v>0</v>
      </c>
      <c r="J83" s="36">
        <f t="shared" ca="1" si="11"/>
        <v>0</v>
      </c>
      <c r="L83" s="1">
        <f t="shared" ca="1" si="12"/>
        <v>0</v>
      </c>
      <c r="N83" s="21" t="str">
        <f t="shared" ca="1" si="27"/>
        <v/>
      </c>
      <c r="O83" s="22" t="str">
        <f t="shared" ca="1" si="27"/>
        <v/>
      </c>
      <c r="P83" s="22" t="str">
        <f t="shared" ca="1" si="27"/>
        <v/>
      </c>
      <c r="Q83" s="22" t="str">
        <f t="shared" ca="1" si="27"/>
        <v/>
      </c>
      <c r="R83" s="22" t="str">
        <f t="shared" ca="1" si="27"/>
        <v/>
      </c>
      <c r="S83" s="22" t="str">
        <f t="shared" ca="1" si="27"/>
        <v/>
      </c>
      <c r="T83" s="22" t="str">
        <f t="shared" ca="1" si="27"/>
        <v/>
      </c>
      <c r="U83" s="22" t="str">
        <f t="shared" ca="1" si="27"/>
        <v/>
      </c>
      <c r="V83" s="22" t="str">
        <f t="shared" ca="1" si="27"/>
        <v/>
      </c>
      <c r="W83" s="23" t="str">
        <f t="shared" ca="1" si="27"/>
        <v/>
      </c>
      <c r="Y83" s="21" t="str">
        <f t="shared" ca="1" si="26"/>
        <v/>
      </c>
      <c r="Z83" s="22" t="str">
        <f t="shared" ca="1" si="26"/>
        <v/>
      </c>
      <c r="AA83" s="22" t="str">
        <f t="shared" ca="1" si="26"/>
        <v/>
      </c>
      <c r="AB83" s="22" t="str">
        <f t="shared" ca="1" si="26"/>
        <v/>
      </c>
      <c r="AC83" s="22" t="str">
        <f t="shared" ca="1" si="26"/>
        <v/>
      </c>
      <c r="AD83" s="22" t="str">
        <f t="shared" ca="1" si="26"/>
        <v/>
      </c>
      <c r="AE83" s="22" t="str">
        <f t="shared" ca="1" si="26"/>
        <v/>
      </c>
      <c r="AF83" s="22" t="str">
        <f t="shared" ca="1" si="26"/>
        <v/>
      </c>
      <c r="AG83" s="22" t="str">
        <f t="shared" ca="1" si="26"/>
        <v/>
      </c>
      <c r="AH83" s="23" t="str">
        <f t="shared" ca="1" si="26"/>
        <v/>
      </c>
      <c r="AJ83" s="12" t="e">
        <f t="shared" si="18"/>
        <v>#N/A</v>
      </c>
      <c r="AK83" s="51" t="e">
        <f t="shared" si="2"/>
        <v>#N/A</v>
      </c>
      <c r="AL83" s="16" t="e">
        <f t="shared" si="3"/>
        <v>#N/A</v>
      </c>
      <c r="AM83" s="16" t="e">
        <f t="shared" si="4"/>
        <v>#N/A</v>
      </c>
      <c r="AN83" s="10" t="e">
        <f t="shared" ca="1" si="5"/>
        <v>#N/A</v>
      </c>
      <c r="AO83" s="10" t="e">
        <f t="shared" ca="1" si="6"/>
        <v>#N/A</v>
      </c>
      <c r="AP83" s="10" t="e">
        <f t="shared" si="7"/>
        <v>#N/A</v>
      </c>
      <c r="AQ83" s="10" t="e">
        <f t="shared" si="8"/>
        <v>#N/A</v>
      </c>
      <c r="AR83" s="10" t="e">
        <f t="shared" si="8"/>
        <v>#N/A</v>
      </c>
      <c r="BC83" s="29"/>
    </row>
    <row r="84" spans="2:55" x14ac:dyDescent="0.25">
      <c r="B84" s="41"/>
      <c r="C84" s="58"/>
      <c r="D84" s="63"/>
      <c r="E84" s="39"/>
      <c r="F84" s="60"/>
      <c r="G84" s="42" t="str">
        <f t="shared" si="15"/>
        <v/>
      </c>
      <c r="H84" s="45">
        <f t="shared" ca="1" si="9"/>
        <v>51</v>
      </c>
      <c r="I84" s="36">
        <f t="shared" ca="1" si="10"/>
        <v>0</v>
      </c>
      <c r="J84" s="36">
        <f t="shared" ca="1" si="11"/>
        <v>0</v>
      </c>
      <c r="L84" s="1">
        <f t="shared" ca="1" si="12"/>
        <v>0</v>
      </c>
      <c r="N84" s="21" t="str">
        <f t="shared" ca="1" si="27"/>
        <v/>
      </c>
      <c r="O84" s="22" t="str">
        <f t="shared" ca="1" si="27"/>
        <v/>
      </c>
      <c r="P84" s="22" t="str">
        <f t="shared" ca="1" si="27"/>
        <v/>
      </c>
      <c r="Q84" s="22" t="str">
        <f t="shared" ca="1" si="27"/>
        <v/>
      </c>
      <c r="R84" s="22" t="str">
        <f t="shared" ca="1" si="27"/>
        <v/>
      </c>
      <c r="S84" s="22" t="str">
        <f t="shared" ca="1" si="27"/>
        <v/>
      </c>
      <c r="T84" s="22" t="str">
        <f t="shared" ca="1" si="27"/>
        <v/>
      </c>
      <c r="U84" s="22" t="str">
        <f t="shared" ca="1" si="27"/>
        <v/>
      </c>
      <c r="V84" s="22" t="str">
        <f t="shared" ca="1" si="27"/>
        <v/>
      </c>
      <c r="W84" s="23" t="str">
        <f t="shared" ca="1" si="27"/>
        <v/>
      </c>
      <c r="Y84" s="21" t="str">
        <f t="shared" ca="1" si="26"/>
        <v/>
      </c>
      <c r="Z84" s="22" t="str">
        <f t="shared" ca="1" si="26"/>
        <v/>
      </c>
      <c r="AA84" s="22" t="str">
        <f t="shared" ca="1" si="26"/>
        <v/>
      </c>
      <c r="AB84" s="22" t="str">
        <f t="shared" ca="1" si="26"/>
        <v/>
      </c>
      <c r="AC84" s="22" t="str">
        <f t="shared" ca="1" si="26"/>
        <v/>
      </c>
      <c r="AD84" s="22" t="str">
        <f t="shared" ca="1" si="26"/>
        <v/>
      </c>
      <c r="AE84" s="22" t="str">
        <f t="shared" ca="1" si="26"/>
        <v/>
      </c>
      <c r="AF84" s="22" t="str">
        <f t="shared" ca="1" si="26"/>
        <v/>
      </c>
      <c r="AG84" s="22" t="str">
        <f t="shared" ca="1" si="26"/>
        <v/>
      </c>
      <c r="AH84" s="23" t="str">
        <f t="shared" ca="1" si="26"/>
        <v/>
      </c>
      <c r="AJ84" s="12" t="e">
        <f t="shared" si="18"/>
        <v>#N/A</v>
      </c>
      <c r="AK84" s="51" t="e">
        <f t="shared" si="2"/>
        <v>#N/A</v>
      </c>
      <c r="AL84" s="16" t="e">
        <f t="shared" si="3"/>
        <v>#N/A</v>
      </c>
      <c r="AM84" s="16" t="e">
        <f t="shared" si="4"/>
        <v>#N/A</v>
      </c>
      <c r="AN84" s="10" t="e">
        <f t="shared" ca="1" si="5"/>
        <v>#N/A</v>
      </c>
      <c r="AO84" s="10" t="e">
        <f t="shared" ca="1" si="6"/>
        <v>#N/A</v>
      </c>
      <c r="AP84" s="10" t="e">
        <f t="shared" si="7"/>
        <v>#N/A</v>
      </c>
      <c r="AQ84" s="10" t="e">
        <f t="shared" si="8"/>
        <v>#N/A</v>
      </c>
      <c r="AR84" s="10" t="e">
        <f t="shared" si="8"/>
        <v>#N/A</v>
      </c>
      <c r="BC84" s="29"/>
    </row>
    <row r="85" spans="2:55" x14ac:dyDescent="0.25">
      <c r="B85" s="41"/>
      <c r="C85" s="58"/>
      <c r="D85" s="63"/>
      <c r="E85" s="39"/>
      <c r="F85" s="60"/>
      <c r="G85" s="42" t="str">
        <f t="shared" si="15"/>
        <v/>
      </c>
      <c r="H85" s="45">
        <f t="shared" ca="1" si="9"/>
        <v>51</v>
      </c>
      <c r="I85" s="36">
        <f t="shared" ca="1" si="10"/>
        <v>0</v>
      </c>
      <c r="J85" s="36">
        <f t="shared" ca="1" si="11"/>
        <v>0</v>
      </c>
      <c r="L85" s="1">
        <f t="shared" ca="1" si="12"/>
        <v>0</v>
      </c>
      <c r="N85" s="21" t="str">
        <f t="shared" ca="1" si="27"/>
        <v/>
      </c>
      <c r="O85" s="22" t="str">
        <f t="shared" ca="1" si="27"/>
        <v/>
      </c>
      <c r="P85" s="22" t="str">
        <f t="shared" ca="1" si="27"/>
        <v/>
      </c>
      <c r="Q85" s="22" t="str">
        <f t="shared" ca="1" si="27"/>
        <v/>
      </c>
      <c r="R85" s="22" t="str">
        <f t="shared" ca="1" si="27"/>
        <v/>
      </c>
      <c r="S85" s="22" t="str">
        <f t="shared" ca="1" si="27"/>
        <v/>
      </c>
      <c r="T85" s="22" t="str">
        <f t="shared" ca="1" si="27"/>
        <v/>
      </c>
      <c r="U85" s="22" t="str">
        <f t="shared" ca="1" si="27"/>
        <v/>
      </c>
      <c r="V85" s="22" t="str">
        <f t="shared" ca="1" si="27"/>
        <v/>
      </c>
      <c r="W85" s="23" t="str">
        <f t="shared" ca="1" si="27"/>
        <v/>
      </c>
      <c r="Y85" s="21" t="str">
        <f t="shared" ca="1" si="26"/>
        <v/>
      </c>
      <c r="Z85" s="22" t="str">
        <f t="shared" ca="1" si="26"/>
        <v/>
      </c>
      <c r="AA85" s="22" t="str">
        <f t="shared" ca="1" si="26"/>
        <v/>
      </c>
      <c r="AB85" s="22" t="str">
        <f t="shared" ca="1" si="26"/>
        <v/>
      </c>
      <c r="AC85" s="22" t="str">
        <f t="shared" ca="1" si="26"/>
        <v/>
      </c>
      <c r="AD85" s="22" t="str">
        <f t="shared" ca="1" si="26"/>
        <v/>
      </c>
      <c r="AE85" s="22" t="str">
        <f t="shared" ca="1" si="26"/>
        <v/>
      </c>
      <c r="AF85" s="22" t="str">
        <f t="shared" ca="1" si="26"/>
        <v/>
      </c>
      <c r="AG85" s="22" t="str">
        <f t="shared" ca="1" si="26"/>
        <v/>
      </c>
      <c r="AH85" s="23" t="str">
        <f t="shared" ca="1" si="26"/>
        <v/>
      </c>
      <c r="AJ85" s="12" t="e">
        <f t="shared" si="18"/>
        <v>#N/A</v>
      </c>
      <c r="AK85" s="51" t="e">
        <f t="shared" si="2"/>
        <v>#N/A</v>
      </c>
      <c r="AL85" s="16" t="e">
        <f t="shared" si="3"/>
        <v>#N/A</v>
      </c>
      <c r="AM85" s="16" t="e">
        <f t="shared" si="4"/>
        <v>#N/A</v>
      </c>
      <c r="AN85" s="10" t="e">
        <f t="shared" ca="1" si="5"/>
        <v>#N/A</v>
      </c>
      <c r="AO85" s="10" t="e">
        <f t="shared" ca="1" si="6"/>
        <v>#N/A</v>
      </c>
      <c r="AP85" s="10" t="e">
        <f t="shared" si="7"/>
        <v>#N/A</v>
      </c>
      <c r="AQ85" s="10" t="e">
        <f t="shared" si="8"/>
        <v>#N/A</v>
      </c>
      <c r="AR85" s="10" t="e">
        <f t="shared" si="8"/>
        <v>#N/A</v>
      </c>
      <c r="BC85" s="29"/>
    </row>
    <row r="86" spans="2:55" x14ac:dyDescent="0.25">
      <c r="B86" s="41"/>
      <c r="C86" s="58"/>
      <c r="D86" s="63"/>
      <c r="E86" s="39"/>
      <c r="F86" s="60"/>
      <c r="G86" s="42" t="str">
        <f t="shared" si="15"/>
        <v/>
      </c>
      <c r="H86" s="45">
        <f t="shared" ca="1" si="9"/>
        <v>51</v>
      </c>
      <c r="I86" s="36">
        <f t="shared" ca="1" si="10"/>
        <v>0</v>
      </c>
      <c r="J86" s="36">
        <f t="shared" ca="1" si="11"/>
        <v>0</v>
      </c>
      <c r="L86" s="1">
        <f t="shared" ca="1" si="12"/>
        <v>0</v>
      </c>
      <c r="N86" s="21" t="str">
        <f t="shared" ca="1" si="27"/>
        <v/>
      </c>
      <c r="O86" s="22" t="str">
        <f t="shared" ca="1" si="27"/>
        <v/>
      </c>
      <c r="P86" s="22" t="str">
        <f t="shared" ca="1" si="27"/>
        <v/>
      </c>
      <c r="Q86" s="22" t="str">
        <f t="shared" ca="1" si="27"/>
        <v/>
      </c>
      <c r="R86" s="22" t="str">
        <f t="shared" ca="1" si="27"/>
        <v/>
      </c>
      <c r="S86" s="22" t="str">
        <f t="shared" ca="1" si="27"/>
        <v/>
      </c>
      <c r="T86" s="22" t="str">
        <f t="shared" ca="1" si="27"/>
        <v/>
      </c>
      <c r="U86" s="22" t="str">
        <f t="shared" ca="1" si="27"/>
        <v/>
      </c>
      <c r="V86" s="22" t="str">
        <f t="shared" ca="1" si="27"/>
        <v/>
      </c>
      <c r="W86" s="23" t="str">
        <f t="shared" ca="1" si="27"/>
        <v/>
      </c>
      <c r="Y86" s="21" t="str">
        <f t="shared" ca="1" si="26"/>
        <v/>
      </c>
      <c r="Z86" s="22" t="str">
        <f t="shared" ca="1" si="26"/>
        <v/>
      </c>
      <c r="AA86" s="22" t="str">
        <f t="shared" ca="1" si="26"/>
        <v/>
      </c>
      <c r="AB86" s="22" t="str">
        <f t="shared" ca="1" si="26"/>
        <v/>
      </c>
      <c r="AC86" s="22" t="str">
        <f t="shared" ca="1" si="26"/>
        <v/>
      </c>
      <c r="AD86" s="22" t="str">
        <f t="shared" ca="1" si="26"/>
        <v/>
      </c>
      <c r="AE86" s="22" t="str">
        <f t="shared" ca="1" si="26"/>
        <v/>
      </c>
      <c r="AF86" s="22" t="str">
        <f t="shared" ca="1" si="26"/>
        <v/>
      </c>
      <c r="AG86" s="22" t="str">
        <f t="shared" ca="1" si="26"/>
        <v/>
      </c>
      <c r="AH86" s="23" t="str">
        <f t="shared" ca="1" si="26"/>
        <v/>
      </c>
      <c r="AJ86" s="12" t="e">
        <f t="shared" si="18"/>
        <v>#N/A</v>
      </c>
      <c r="AK86" s="51" t="e">
        <f t="shared" si="2"/>
        <v>#N/A</v>
      </c>
      <c r="AL86" s="16" t="e">
        <f t="shared" si="3"/>
        <v>#N/A</v>
      </c>
      <c r="AM86" s="16" t="e">
        <f t="shared" si="4"/>
        <v>#N/A</v>
      </c>
      <c r="AN86" s="10" t="e">
        <f t="shared" ca="1" si="5"/>
        <v>#N/A</v>
      </c>
      <c r="AO86" s="10" t="e">
        <f t="shared" ca="1" si="6"/>
        <v>#N/A</v>
      </c>
      <c r="AP86" s="10" t="e">
        <f t="shared" si="7"/>
        <v>#N/A</v>
      </c>
      <c r="AQ86" s="10" t="e">
        <f t="shared" si="8"/>
        <v>#N/A</v>
      </c>
      <c r="AR86" s="10" t="e">
        <f t="shared" si="8"/>
        <v>#N/A</v>
      </c>
      <c r="BC86" s="29"/>
    </row>
    <row r="87" spans="2:55" x14ac:dyDescent="0.25">
      <c r="B87" s="41"/>
      <c r="C87" s="58"/>
      <c r="D87" s="63"/>
      <c r="E87" s="39"/>
      <c r="F87" s="60"/>
      <c r="G87" s="42" t="str">
        <f t="shared" si="15"/>
        <v/>
      </c>
      <c r="H87" s="45">
        <f t="shared" ca="1" si="9"/>
        <v>51</v>
      </c>
      <c r="I87" s="36">
        <f t="shared" ca="1" si="10"/>
        <v>0</v>
      </c>
      <c r="J87" s="36">
        <f t="shared" ca="1" si="11"/>
        <v>0</v>
      </c>
      <c r="L87" s="1">
        <f t="shared" ca="1" si="12"/>
        <v>0</v>
      </c>
      <c r="N87" s="21" t="str">
        <f t="shared" ca="1" si="27"/>
        <v/>
      </c>
      <c r="O87" s="22" t="str">
        <f t="shared" ca="1" si="27"/>
        <v/>
      </c>
      <c r="P87" s="22" t="str">
        <f t="shared" ca="1" si="27"/>
        <v/>
      </c>
      <c r="Q87" s="22" t="str">
        <f t="shared" ca="1" si="27"/>
        <v/>
      </c>
      <c r="R87" s="22" t="str">
        <f t="shared" ca="1" si="27"/>
        <v/>
      </c>
      <c r="S87" s="22" t="str">
        <f t="shared" ca="1" si="27"/>
        <v/>
      </c>
      <c r="T87" s="22" t="str">
        <f t="shared" ca="1" si="27"/>
        <v/>
      </c>
      <c r="U87" s="22" t="str">
        <f t="shared" ca="1" si="27"/>
        <v/>
      </c>
      <c r="V87" s="22" t="str">
        <f t="shared" ca="1" si="27"/>
        <v/>
      </c>
      <c r="W87" s="23" t="str">
        <f t="shared" ca="1" si="27"/>
        <v/>
      </c>
      <c r="Y87" s="21" t="str">
        <f t="shared" ca="1" si="26"/>
        <v/>
      </c>
      <c r="Z87" s="22" t="str">
        <f t="shared" ca="1" si="26"/>
        <v/>
      </c>
      <c r="AA87" s="22" t="str">
        <f t="shared" ca="1" si="26"/>
        <v/>
      </c>
      <c r="AB87" s="22" t="str">
        <f t="shared" ca="1" si="26"/>
        <v/>
      </c>
      <c r="AC87" s="22" t="str">
        <f t="shared" ca="1" si="26"/>
        <v/>
      </c>
      <c r="AD87" s="22" t="str">
        <f t="shared" ca="1" si="26"/>
        <v/>
      </c>
      <c r="AE87" s="22" t="str">
        <f t="shared" ca="1" si="26"/>
        <v/>
      </c>
      <c r="AF87" s="22" t="str">
        <f t="shared" ca="1" si="26"/>
        <v/>
      </c>
      <c r="AG87" s="22" t="str">
        <f t="shared" ca="1" si="26"/>
        <v/>
      </c>
      <c r="AH87" s="23" t="str">
        <f t="shared" ca="1" si="26"/>
        <v/>
      </c>
      <c r="AJ87" s="12" t="e">
        <f t="shared" si="18"/>
        <v>#N/A</v>
      </c>
      <c r="AK87" s="51" t="e">
        <f t="shared" si="2"/>
        <v>#N/A</v>
      </c>
      <c r="AL87" s="16" t="e">
        <f t="shared" si="3"/>
        <v>#N/A</v>
      </c>
      <c r="AM87" s="16" t="e">
        <f t="shared" si="4"/>
        <v>#N/A</v>
      </c>
      <c r="AN87" s="10" t="e">
        <f t="shared" ca="1" si="5"/>
        <v>#N/A</v>
      </c>
      <c r="AO87" s="10" t="e">
        <f t="shared" ca="1" si="6"/>
        <v>#N/A</v>
      </c>
      <c r="AP87" s="10" t="e">
        <f t="shared" si="7"/>
        <v>#N/A</v>
      </c>
      <c r="AQ87" s="10" t="e">
        <f t="shared" si="8"/>
        <v>#N/A</v>
      </c>
      <c r="AR87" s="10" t="e">
        <f t="shared" si="8"/>
        <v>#N/A</v>
      </c>
      <c r="BC87" s="29"/>
    </row>
    <row r="88" spans="2:55" x14ac:dyDescent="0.25">
      <c r="B88" s="41"/>
      <c r="C88" s="58"/>
      <c r="D88" s="63"/>
      <c r="E88" s="39"/>
      <c r="F88" s="60"/>
      <c r="G88" s="42" t="str">
        <f t="shared" si="15"/>
        <v/>
      </c>
      <c r="H88" s="45">
        <f t="shared" ca="1" si="9"/>
        <v>51</v>
      </c>
      <c r="I88" s="36">
        <f t="shared" ca="1" si="10"/>
        <v>0</v>
      </c>
      <c r="J88" s="36">
        <f t="shared" ca="1" si="11"/>
        <v>0</v>
      </c>
      <c r="L88" s="1">
        <f t="shared" ca="1" si="12"/>
        <v>0</v>
      </c>
      <c r="N88" s="21" t="str">
        <f t="shared" ca="1" si="27"/>
        <v/>
      </c>
      <c r="O88" s="22" t="str">
        <f t="shared" ca="1" si="27"/>
        <v/>
      </c>
      <c r="P88" s="22" t="str">
        <f t="shared" ca="1" si="27"/>
        <v/>
      </c>
      <c r="Q88" s="22" t="str">
        <f t="shared" ca="1" si="27"/>
        <v/>
      </c>
      <c r="R88" s="22" t="str">
        <f t="shared" ca="1" si="27"/>
        <v/>
      </c>
      <c r="S88" s="22" t="str">
        <f t="shared" ca="1" si="27"/>
        <v/>
      </c>
      <c r="T88" s="22" t="str">
        <f t="shared" ca="1" si="27"/>
        <v/>
      </c>
      <c r="U88" s="22" t="str">
        <f t="shared" ca="1" si="27"/>
        <v/>
      </c>
      <c r="V88" s="22" t="str">
        <f t="shared" ca="1" si="27"/>
        <v/>
      </c>
      <c r="W88" s="23" t="str">
        <f t="shared" ca="1" si="27"/>
        <v/>
      </c>
      <c r="Y88" s="21" t="str">
        <f t="shared" ca="1" si="26"/>
        <v/>
      </c>
      <c r="Z88" s="22" t="str">
        <f t="shared" ca="1" si="26"/>
        <v/>
      </c>
      <c r="AA88" s="22" t="str">
        <f t="shared" ca="1" si="26"/>
        <v/>
      </c>
      <c r="AB88" s="22" t="str">
        <f t="shared" ca="1" si="26"/>
        <v/>
      </c>
      <c r="AC88" s="22" t="str">
        <f t="shared" ca="1" si="26"/>
        <v/>
      </c>
      <c r="AD88" s="22" t="str">
        <f t="shared" ca="1" si="26"/>
        <v/>
      </c>
      <c r="AE88" s="22" t="str">
        <f t="shared" ca="1" si="26"/>
        <v/>
      </c>
      <c r="AF88" s="22" t="str">
        <f t="shared" ca="1" si="26"/>
        <v/>
      </c>
      <c r="AG88" s="22" t="str">
        <f t="shared" ca="1" si="26"/>
        <v/>
      </c>
      <c r="AH88" s="23" t="str">
        <f t="shared" ca="1" si="26"/>
        <v/>
      </c>
      <c r="AJ88" s="12" t="e">
        <f t="shared" si="18"/>
        <v>#N/A</v>
      </c>
      <c r="AK88" s="51" t="e">
        <f t="shared" si="2"/>
        <v>#N/A</v>
      </c>
      <c r="AL88" s="16" t="e">
        <f t="shared" si="3"/>
        <v>#N/A</v>
      </c>
      <c r="AM88" s="16" t="e">
        <f t="shared" si="4"/>
        <v>#N/A</v>
      </c>
      <c r="AN88" s="10" t="e">
        <f t="shared" ca="1" si="5"/>
        <v>#N/A</v>
      </c>
      <c r="AO88" s="10" t="e">
        <f t="shared" ca="1" si="6"/>
        <v>#N/A</v>
      </c>
      <c r="AP88" s="10" t="e">
        <f t="shared" si="7"/>
        <v>#N/A</v>
      </c>
      <c r="AQ88" s="10" t="e">
        <f t="shared" si="8"/>
        <v>#N/A</v>
      </c>
      <c r="AR88" s="10" t="e">
        <f t="shared" si="8"/>
        <v>#N/A</v>
      </c>
      <c r="BC88" s="29"/>
    </row>
    <row r="89" spans="2:55" x14ac:dyDescent="0.25">
      <c r="B89" s="41"/>
      <c r="C89" s="58"/>
      <c r="D89" s="63"/>
      <c r="E89" s="39"/>
      <c r="F89" s="60"/>
      <c r="G89" s="42" t="str">
        <f t="shared" si="15"/>
        <v/>
      </c>
      <c r="H89" s="45">
        <f t="shared" ca="1" si="9"/>
        <v>51</v>
      </c>
      <c r="I89" s="36">
        <f t="shared" ca="1" si="10"/>
        <v>0</v>
      </c>
      <c r="J89" s="36">
        <f t="shared" ca="1" si="11"/>
        <v>0</v>
      </c>
      <c r="L89" s="1">
        <f t="shared" ca="1" si="12"/>
        <v>0</v>
      </c>
      <c r="N89" s="21" t="str">
        <f t="shared" ca="1" si="27"/>
        <v/>
      </c>
      <c r="O89" s="22" t="str">
        <f t="shared" ca="1" si="27"/>
        <v/>
      </c>
      <c r="P89" s="22" t="str">
        <f t="shared" ca="1" si="27"/>
        <v/>
      </c>
      <c r="Q89" s="22" t="str">
        <f t="shared" ca="1" si="27"/>
        <v/>
      </c>
      <c r="R89" s="22" t="str">
        <f t="shared" ca="1" si="27"/>
        <v/>
      </c>
      <c r="S89" s="22" t="str">
        <f t="shared" ca="1" si="27"/>
        <v/>
      </c>
      <c r="T89" s="22" t="str">
        <f t="shared" ca="1" si="27"/>
        <v/>
      </c>
      <c r="U89" s="22" t="str">
        <f t="shared" ca="1" si="27"/>
        <v/>
      </c>
      <c r="V89" s="22" t="str">
        <f t="shared" ca="1" si="27"/>
        <v/>
      </c>
      <c r="W89" s="23" t="str">
        <f t="shared" ca="1" si="27"/>
        <v/>
      </c>
      <c r="Y89" s="21" t="str">
        <f t="shared" ca="1" si="26"/>
        <v/>
      </c>
      <c r="Z89" s="22" t="str">
        <f t="shared" ca="1" si="26"/>
        <v/>
      </c>
      <c r="AA89" s="22" t="str">
        <f t="shared" ca="1" si="26"/>
        <v/>
      </c>
      <c r="AB89" s="22" t="str">
        <f t="shared" ca="1" si="26"/>
        <v/>
      </c>
      <c r="AC89" s="22" t="str">
        <f t="shared" ca="1" si="26"/>
        <v/>
      </c>
      <c r="AD89" s="22" t="str">
        <f t="shared" ca="1" si="26"/>
        <v/>
      </c>
      <c r="AE89" s="22" t="str">
        <f t="shared" ca="1" si="26"/>
        <v/>
      </c>
      <c r="AF89" s="22" t="str">
        <f t="shared" ca="1" si="26"/>
        <v/>
      </c>
      <c r="AG89" s="22" t="str">
        <f t="shared" ca="1" si="26"/>
        <v/>
      </c>
      <c r="AH89" s="23" t="str">
        <f t="shared" ca="1" si="26"/>
        <v/>
      </c>
      <c r="AJ89" s="12" t="e">
        <f t="shared" si="18"/>
        <v>#N/A</v>
      </c>
      <c r="AK89" s="51" t="e">
        <f t="shared" si="2"/>
        <v>#N/A</v>
      </c>
      <c r="AL89" s="16" t="e">
        <f t="shared" si="3"/>
        <v>#N/A</v>
      </c>
      <c r="AM89" s="16" t="e">
        <f t="shared" si="4"/>
        <v>#N/A</v>
      </c>
      <c r="AN89" s="10" t="e">
        <f t="shared" ca="1" si="5"/>
        <v>#N/A</v>
      </c>
      <c r="AO89" s="10" t="e">
        <f t="shared" ca="1" si="6"/>
        <v>#N/A</v>
      </c>
      <c r="AP89" s="10" t="e">
        <f t="shared" si="7"/>
        <v>#N/A</v>
      </c>
      <c r="AQ89" s="10" t="e">
        <f t="shared" si="8"/>
        <v>#N/A</v>
      </c>
      <c r="AR89" s="10" t="e">
        <f t="shared" si="8"/>
        <v>#N/A</v>
      </c>
      <c r="BC89" s="29"/>
    </row>
    <row r="90" spans="2:55" x14ac:dyDescent="0.25">
      <c r="B90" s="41"/>
      <c r="C90" s="58"/>
      <c r="D90" s="63"/>
      <c r="E90" s="39"/>
      <c r="F90" s="60"/>
      <c r="G90" s="42" t="str">
        <f t="shared" si="15"/>
        <v/>
      </c>
      <c r="H90" s="45">
        <f t="shared" ca="1" si="9"/>
        <v>51</v>
      </c>
      <c r="I90" s="36">
        <f t="shared" ca="1" si="10"/>
        <v>0</v>
      </c>
      <c r="J90" s="36">
        <f t="shared" ca="1" si="11"/>
        <v>0</v>
      </c>
      <c r="L90" s="1">
        <f t="shared" ca="1" si="12"/>
        <v>0</v>
      </c>
      <c r="N90" s="21" t="str">
        <f t="shared" ca="1" si="27"/>
        <v/>
      </c>
      <c r="O90" s="22" t="str">
        <f t="shared" ca="1" si="27"/>
        <v/>
      </c>
      <c r="P90" s="22" t="str">
        <f t="shared" ca="1" si="27"/>
        <v/>
      </c>
      <c r="Q90" s="22" t="str">
        <f t="shared" ca="1" si="27"/>
        <v/>
      </c>
      <c r="R90" s="22" t="str">
        <f t="shared" ca="1" si="27"/>
        <v/>
      </c>
      <c r="S90" s="22" t="str">
        <f t="shared" ca="1" si="27"/>
        <v/>
      </c>
      <c r="T90" s="22" t="str">
        <f t="shared" ca="1" si="27"/>
        <v/>
      </c>
      <c r="U90" s="22" t="str">
        <f t="shared" ca="1" si="27"/>
        <v/>
      </c>
      <c r="V90" s="22" t="str">
        <f t="shared" ca="1" si="27"/>
        <v/>
      </c>
      <c r="W90" s="23" t="str">
        <f t="shared" ca="1" si="27"/>
        <v/>
      </c>
      <c r="Y90" s="21" t="str">
        <f t="shared" ca="1" si="26"/>
        <v/>
      </c>
      <c r="Z90" s="22" t="str">
        <f t="shared" ca="1" si="26"/>
        <v/>
      </c>
      <c r="AA90" s="22" t="str">
        <f t="shared" ca="1" si="26"/>
        <v/>
      </c>
      <c r="AB90" s="22" t="str">
        <f t="shared" ca="1" si="26"/>
        <v/>
      </c>
      <c r="AC90" s="22" t="str">
        <f t="shared" ca="1" si="26"/>
        <v/>
      </c>
      <c r="AD90" s="22" t="str">
        <f t="shared" ca="1" si="26"/>
        <v/>
      </c>
      <c r="AE90" s="22" t="str">
        <f t="shared" ca="1" si="26"/>
        <v/>
      </c>
      <c r="AF90" s="22" t="str">
        <f t="shared" ca="1" si="26"/>
        <v/>
      </c>
      <c r="AG90" s="22" t="str">
        <f t="shared" ca="1" si="26"/>
        <v/>
      </c>
      <c r="AH90" s="23" t="str">
        <f t="shared" ca="1" si="26"/>
        <v/>
      </c>
      <c r="AJ90" s="12" t="e">
        <f t="shared" ref="AJ90:AJ153" si="28">IF(ISBLANK(C90),NA(),VLOOKUP(L90,values,2,0))</f>
        <v>#N/A</v>
      </c>
      <c r="AK90" s="51" t="e">
        <f t="shared" ref="AK90:AK153" si="29">IF(ISBLANK(C90),NA(),INDEX($AV$26:$BA$35,MATCH(L90,$AT$26:$AT$35,0),MATCH($D$11,$AV$25:$BA$25,0)))</f>
        <v>#N/A</v>
      </c>
      <c r="AL90" s="16" t="e">
        <f t="shared" ref="AL90:AL153" si="30">IF(ISBLANK(C90),NA(),AJ90+AK90)</f>
        <v>#N/A</v>
      </c>
      <c r="AM90" s="16" t="e">
        <f t="shared" ref="AM90:AM153" si="31">IF(ISBLANK(C90),NA(),AJ90-AK90)</f>
        <v>#N/A</v>
      </c>
      <c r="AN90" s="10" t="e">
        <f t="shared" ref="AN90:AN153" ca="1" si="32">IF(SUM(I83:I90)&gt;0,C90,NA())</f>
        <v>#N/A</v>
      </c>
      <c r="AO90" s="10" t="e">
        <f t="shared" ref="AO90:AO153" ca="1" si="33">IF(SUM(J85:J90)&gt;0,C90,NA())</f>
        <v>#N/A</v>
      </c>
      <c r="AP90" s="10" t="e">
        <f t="shared" ref="AP90:AP153" si="34">IF(C90&lt;AM90,C90,IF(C90&gt;AL90,C90,NA()))</f>
        <v>#N/A</v>
      </c>
      <c r="AQ90" s="10" t="e">
        <f t="shared" ref="AQ90:AR153" si="35">IF(ISBLANK(D90),NA(),D90)</f>
        <v>#N/A</v>
      </c>
      <c r="AR90" s="10" t="e">
        <f t="shared" si="35"/>
        <v>#N/A</v>
      </c>
      <c r="BC90" s="29"/>
    </row>
    <row r="91" spans="2:55" x14ac:dyDescent="0.25">
      <c r="B91" s="41"/>
      <c r="C91" s="58"/>
      <c r="D91" s="63"/>
      <c r="E91" s="39"/>
      <c r="F91" s="60"/>
      <c r="G91" s="42" t="str">
        <f t="shared" si="15"/>
        <v/>
      </c>
      <c r="H91" s="45">
        <f t="shared" ref="H91:H154" ca="1" si="36">IF(G91&gt;$C$9,
    IF(I91&lt;&gt;1,
      H90,
      IF(OR($D$7&gt;=1,IF(F91="Change",1,0)=1),
        SUMIFS($C:$C,$G:$G,"&lt;"&amp;G91+$C$13,$G:$G,"&gt;="&amp;G91,$C:$C,"&lt;&gt;")/COUNTIFS($G:$G,"&lt;"&amp;G91+$C$13,$G:$G,"&gt;="&amp;G91,$C:$C,"&lt;&gt;"),
        SUMIFS($C:$C,$G:$G,"&lt;"&amp;$C$9,$C:$C,"&lt;&gt;")/COUNTIFS($G:$G,"&lt;"&amp;$C$9,$C:$C,"&lt;&gt;")
      )
    ),
    SUMIFS($C:$C,$G:$G,"&lt;"&amp;$C$9,$C:$C,"&lt;&gt;")/COUNTIFS($G:$G,"&lt;"&amp;$C$9,$C:$C,"&lt;&gt;")
)</f>
        <v>51</v>
      </c>
      <c r="I91" s="36">
        <f t="shared" ref="I91:I154" ca="1" si="37">IF(G91&gt;$C$9,IF(SUM(I83:I90)&gt;=1,0,IF(OR(ISBLANK(C98),ISNUMBER($C98)=FALSE,SUM(I83:J90)&gt;=1),0,IF(OR(AND(C91&gt;H90,C92&gt;H90,C93&gt;H90,C94&gt;H90,C95&gt;H90,C96&gt;H90,C97&gt;H90,C98&gt;H90),AND(C91&lt;H90,C92&lt;H90,C93&lt;H90,C94&lt;H90,C95&lt;H90,C96&lt;H90,C97&lt;H90,C98&lt;H90)),1,0))),0)</f>
        <v>0</v>
      </c>
      <c r="J91" s="36">
        <f t="shared" ref="J91:J154" ca="1" si="38">IF(G91&gt;$C$9,IF(OR(ISBLANK(C96),ISNUMBER($C98)=FALSE,SUM(I83:J90)&gt;=1),0,IF(SUM(J83:J90)&gt;=1,0,IF(OR(AND(C90&gt;C91,C91&gt;C92,C92&gt;C93,C93&gt;C94,C94&gt;C95,C95&gt;C96),AND(C90&lt;C91,C91&lt;C92,C92&lt;C93,C93&lt;C94,C94&lt;C95,C95&lt;C96)),1,0))),0)</f>
        <v>0</v>
      </c>
      <c r="L91" s="1">
        <f t="shared" ref="L91:L154" ca="1" si="39">IF(L90="Period",1,IF($D$7=1,IF(ISBLANK(C91),0,(IF(I91=1,L90+I91,IF(AND(I91=1,J91=1),L90+I91,L90+J91)))),IF($D$7=2,L90+IF(F91="Change",1,0),1)))</f>
        <v>0</v>
      </c>
      <c r="N91" s="21" t="str">
        <f t="shared" ref="N91:W106" ca="1" si="40">IF(ISNUMBER($C91),IF($G91&lt;=$C$9,IF($L91=N$25,$C91,""),IF(COUNT(INDIRECT(ADDRESS(ROW(N$26),COLUMN())&amp;":"&amp;ADDRESS(ROW()-1,COLUMN())))&gt;$C$13,"",IF($L91=N$25,$C91,""))),"")</f>
        <v/>
      </c>
      <c r="O91" s="22" t="str">
        <f t="shared" ca="1" si="40"/>
        <v/>
      </c>
      <c r="P91" s="22" t="str">
        <f t="shared" ca="1" si="40"/>
        <v/>
      </c>
      <c r="Q91" s="22" t="str">
        <f t="shared" ca="1" si="40"/>
        <v/>
      </c>
      <c r="R91" s="22" t="str">
        <f t="shared" ca="1" si="40"/>
        <v/>
      </c>
      <c r="S91" s="22" t="str">
        <f t="shared" ca="1" si="40"/>
        <v/>
      </c>
      <c r="T91" s="22" t="str">
        <f t="shared" ca="1" si="40"/>
        <v/>
      </c>
      <c r="U91" s="22" t="str">
        <f t="shared" ca="1" si="40"/>
        <v/>
      </c>
      <c r="V91" s="22" t="str">
        <f t="shared" ca="1" si="40"/>
        <v/>
      </c>
      <c r="W91" s="23" t="str">
        <f t="shared" ca="1" si="40"/>
        <v/>
      </c>
      <c r="Y91" s="21" t="str">
        <f t="shared" ca="1" si="26"/>
        <v/>
      </c>
      <c r="Z91" s="22" t="str">
        <f t="shared" ca="1" si="26"/>
        <v/>
      </c>
      <c r="AA91" s="22" t="str">
        <f t="shared" ca="1" si="26"/>
        <v/>
      </c>
      <c r="AB91" s="22" t="str">
        <f t="shared" ca="1" si="26"/>
        <v/>
      </c>
      <c r="AC91" s="22" t="str">
        <f t="shared" ca="1" si="26"/>
        <v/>
      </c>
      <c r="AD91" s="22" t="str">
        <f t="shared" ca="1" si="26"/>
        <v/>
      </c>
      <c r="AE91" s="22" t="str">
        <f t="shared" ca="1" si="26"/>
        <v/>
      </c>
      <c r="AF91" s="22" t="str">
        <f t="shared" ca="1" si="26"/>
        <v/>
      </c>
      <c r="AG91" s="22" t="str">
        <f t="shared" ca="1" si="26"/>
        <v/>
      </c>
      <c r="AH91" s="23" t="str">
        <f t="shared" ca="1" si="26"/>
        <v/>
      </c>
      <c r="AJ91" s="12" t="e">
        <f t="shared" si="28"/>
        <v>#N/A</v>
      </c>
      <c r="AK91" s="51" t="e">
        <f t="shared" si="29"/>
        <v>#N/A</v>
      </c>
      <c r="AL91" s="16" t="e">
        <f t="shared" si="30"/>
        <v>#N/A</v>
      </c>
      <c r="AM91" s="16" t="e">
        <f t="shared" si="31"/>
        <v>#N/A</v>
      </c>
      <c r="AN91" s="10" t="e">
        <f t="shared" ca="1" si="32"/>
        <v>#N/A</v>
      </c>
      <c r="AO91" s="10" t="e">
        <f t="shared" ca="1" si="33"/>
        <v>#N/A</v>
      </c>
      <c r="AP91" s="10" t="e">
        <f t="shared" si="34"/>
        <v>#N/A</v>
      </c>
      <c r="AQ91" s="10" t="e">
        <f t="shared" si="35"/>
        <v>#N/A</v>
      </c>
      <c r="AR91" s="10" t="e">
        <f t="shared" si="35"/>
        <v>#N/A</v>
      </c>
      <c r="BC91" s="29"/>
    </row>
    <row r="92" spans="2:55" x14ac:dyDescent="0.25">
      <c r="B92" s="41"/>
      <c r="C92" s="58"/>
      <c r="D92" s="63"/>
      <c r="E92" s="39"/>
      <c r="F92" s="60"/>
      <c r="G92" s="42" t="str">
        <f t="shared" ref="G92:G155" si="41">IF(ISNUMBER(C92),G91+1,"")</f>
        <v/>
      </c>
      <c r="H92" s="45">
        <f t="shared" ca="1" si="36"/>
        <v>51</v>
      </c>
      <c r="I92" s="36">
        <f t="shared" ca="1" si="37"/>
        <v>0</v>
      </c>
      <c r="J92" s="36">
        <f t="shared" ca="1" si="38"/>
        <v>0</v>
      </c>
      <c r="L92" s="1">
        <f t="shared" ca="1" si="39"/>
        <v>0</v>
      </c>
      <c r="N92" s="21" t="str">
        <f t="shared" ca="1" si="40"/>
        <v/>
      </c>
      <c r="O92" s="22" t="str">
        <f t="shared" ca="1" si="40"/>
        <v/>
      </c>
      <c r="P92" s="22" t="str">
        <f t="shared" ca="1" si="40"/>
        <v/>
      </c>
      <c r="Q92" s="22" t="str">
        <f t="shared" ca="1" si="40"/>
        <v/>
      </c>
      <c r="R92" s="22" t="str">
        <f t="shared" ca="1" si="40"/>
        <v/>
      </c>
      <c r="S92" s="22" t="str">
        <f t="shared" ca="1" si="40"/>
        <v/>
      </c>
      <c r="T92" s="22" t="str">
        <f t="shared" ca="1" si="40"/>
        <v/>
      </c>
      <c r="U92" s="22" t="str">
        <f t="shared" ca="1" si="40"/>
        <v/>
      </c>
      <c r="V92" s="22" t="str">
        <f t="shared" ca="1" si="40"/>
        <v/>
      </c>
      <c r="W92" s="23" t="str">
        <f t="shared" ca="1" si="40"/>
        <v/>
      </c>
      <c r="Y92" s="21" t="str">
        <f t="shared" ca="1" si="26"/>
        <v/>
      </c>
      <c r="Z92" s="22" t="str">
        <f t="shared" ca="1" si="26"/>
        <v/>
      </c>
      <c r="AA92" s="22" t="str">
        <f t="shared" ca="1" si="26"/>
        <v/>
      </c>
      <c r="AB92" s="22" t="str">
        <f t="shared" ca="1" si="26"/>
        <v/>
      </c>
      <c r="AC92" s="22" t="str">
        <f t="shared" ca="1" si="26"/>
        <v/>
      </c>
      <c r="AD92" s="22" t="str">
        <f t="shared" ref="AD92:AH115" ca="1" si="42">IFERROR(ABS(S92-S91),"")</f>
        <v/>
      </c>
      <c r="AE92" s="22" t="str">
        <f t="shared" ca="1" si="42"/>
        <v/>
      </c>
      <c r="AF92" s="22" t="str">
        <f t="shared" ca="1" si="42"/>
        <v/>
      </c>
      <c r="AG92" s="22" t="str">
        <f t="shared" ca="1" si="42"/>
        <v/>
      </c>
      <c r="AH92" s="23" t="str">
        <f t="shared" ca="1" si="42"/>
        <v/>
      </c>
      <c r="AJ92" s="12" t="e">
        <f t="shared" si="28"/>
        <v>#N/A</v>
      </c>
      <c r="AK92" s="51" t="e">
        <f t="shared" si="29"/>
        <v>#N/A</v>
      </c>
      <c r="AL92" s="16" t="e">
        <f t="shared" si="30"/>
        <v>#N/A</v>
      </c>
      <c r="AM92" s="16" t="e">
        <f t="shared" si="31"/>
        <v>#N/A</v>
      </c>
      <c r="AN92" s="10" t="e">
        <f t="shared" ca="1" si="32"/>
        <v>#N/A</v>
      </c>
      <c r="AO92" s="10" t="e">
        <f t="shared" ca="1" si="33"/>
        <v>#N/A</v>
      </c>
      <c r="AP92" s="10" t="e">
        <f t="shared" si="34"/>
        <v>#N/A</v>
      </c>
      <c r="AQ92" s="10" t="e">
        <f t="shared" si="35"/>
        <v>#N/A</v>
      </c>
      <c r="AR92" s="10" t="e">
        <f t="shared" si="35"/>
        <v>#N/A</v>
      </c>
      <c r="BC92" s="29"/>
    </row>
    <row r="93" spans="2:55" x14ac:dyDescent="0.25">
      <c r="B93" s="41"/>
      <c r="C93" s="58"/>
      <c r="D93" s="63"/>
      <c r="E93" s="39"/>
      <c r="F93" s="60"/>
      <c r="G93" s="42" t="str">
        <f t="shared" si="41"/>
        <v/>
      </c>
      <c r="H93" s="45">
        <f t="shared" ca="1" si="36"/>
        <v>51</v>
      </c>
      <c r="I93" s="36">
        <f t="shared" ca="1" si="37"/>
        <v>0</v>
      </c>
      <c r="J93" s="36">
        <f t="shared" ca="1" si="38"/>
        <v>0</v>
      </c>
      <c r="L93" s="1">
        <f t="shared" ca="1" si="39"/>
        <v>0</v>
      </c>
      <c r="N93" s="21" t="str">
        <f t="shared" ca="1" si="40"/>
        <v/>
      </c>
      <c r="O93" s="22" t="str">
        <f t="shared" ca="1" si="40"/>
        <v/>
      </c>
      <c r="P93" s="22" t="str">
        <f t="shared" ca="1" si="40"/>
        <v/>
      </c>
      <c r="Q93" s="22" t="str">
        <f t="shared" ca="1" si="40"/>
        <v/>
      </c>
      <c r="R93" s="22" t="str">
        <f t="shared" ca="1" si="40"/>
        <v/>
      </c>
      <c r="S93" s="22" t="str">
        <f t="shared" ca="1" si="40"/>
        <v/>
      </c>
      <c r="T93" s="22" t="str">
        <f t="shared" ca="1" si="40"/>
        <v/>
      </c>
      <c r="U93" s="22" t="str">
        <f t="shared" ca="1" si="40"/>
        <v/>
      </c>
      <c r="V93" s="22" t="str">
        <f t="shared" ca="1" si="40"/>
        <v/>
      </c>
      <c r="W93" s="23" t="str">
        <f t="shared" ca="1" si="40"/>
        <v/>
      </c>
      <c r="Y93" s="21" t="str">
        <f t="shared" ref="Y93:AH116" ca="1" si="43">IFERROR(ABS(N93-N92),"")</f>
        <v/>
      </c>
      <c r="Z93" s="22" t="str">
        <f t="shared" ca="1" si="43"/>
        <v/>
      </c>
      <c r="AA93" s="22" t="str">
        <f t="shared" ca="1" si="43"/>
        <v/>
      </c>
      <c r="AB93" s="22" t="str">
        <f t="shared" ca="1" si="43"/>
        <v/>
      </c>
      <c r="AC93" s="22" t="str">
        <f t="shared" ca="1" si="43"/>
        <v/>
      </c>
      <c r="AD93" s="22" t="str">
        <f t="shared" ca="1" si="42"/>
        <v/>
      </c>
      <c r="AE93" s="22" t="str">
        <f t="shared" ca="1" si="42"/>
        <v/>
      </c>
      <c r="AF93" s="22" t="str">
        <f t="shared" ca="1" si="42"/>
        <v/>
      </c>
      <c r="AG93" s="22" t="str">
        <f t="shared" ca="1" si="42"/>
        <v/>
      </c>
      <c r="AH93" s="23" t="str">
        <f t="shared" ca="1" si="42"/>
        <v/>
      </c>
      <c r="AJ93" s="12" t="e">
        <f t="shared" si="28"/>
        <v>#N/A</v>
      </c>
      <c r="AK93" s="51" t="e">
        <f t="shared" si="29"/>
        <v>#N/A</v>
      </c>
      <c r="AL93" s="16" t="e">
        <f t="shared" si="30"/>
        <v>#N/A</v>
      </c>
      <c r="AM93" s="16" t="e">
        <f t="shared" si="31"/>
        <v>#N/A</v>
      </c>
      <c r="AN93" s="10" t="e">
        <f t="shared" ca="1" si="32"/>
        <v>#N/A</v>
      </c>
      <c r="AO93" s="10" t="e">
        <f t="shared" ca="1" si="33"/>
        <v>#N/A</v>
      </c>
      <c r="AP93" s="10" t="e">
        <f t="shared" si="34"/>
        <v>#N/A</v>
      </c>
      <c r="AQ93" s="10" t="e">
        <f t="shared" si="35"/>
        <v>#N/A</v>
      </c>
      <c r="AR93" s="10" t="e">
        <f t="shared" si="35"/>
        <v>#N/A</v>
      </c>
      <c r="BC93" s="29"/>
    </row>
    <row r="94" spans="2:55" x14ac:dyDescent="0.25">
      <c r="B94" s="41"/>
      <c r="C94" s="58"/>
      <c r="D94" s="63"/>
      <c r="E94" s="39"/>
      <c r="F94" s="60"/>
      <c r="G94" s="42" t="str">
        <f t="shared" si="41"/>
        <v/>
      </c>
      <c r="H94" s="45">
        <f t="shared" ca="1" si="36"/>
        <v>51</v>
      </c>
      <c r="I94" s="36">
        <f t="shared" ca="1" si="37"/>
        <v>0</v>
      </c>
      <c r="J94" s="36">
        <f t="shared" ca="1" si="38"/>
        <v>0</v>
      </c>
      <c r="L94" s="1">
        <f t="shared" ca="1" si="39"/>
        <v>0</v>
      </c>
      <c r="N94" s="21" t="str">
        <f t="shared" ca="1" si="40"/>
        <v/>
      </c>
      <c r="O94" s="22" t="str">
        <f t="shared" ca="1" si="40"/>
        <v/>
      </c>
      <c r="P94" s="22" t="str">
        <f t="shared" ca="1" si="40"/>
        <v/>
      </c>
      <c r="Q94" s="22" t="str">
        <f t="shared" ca="1" si="40"/>
        <v/>
      </c>
      <c r="R94" s="22" t="str">
        <f t="shared" ca="1" si="40"/>
        <v/>
      </c>
      <c r="S94" s="22" t="str">
        <f t="shared" ca="1" si="40"/>
        <v/>
      </c>
      <c r="T94" s="22" t="str">
        <f t="shared" ca="1" si="40"/>
        <v/>
      </c>
      <c r="U94" s="22" t="str">
        <f t="shared" ca="1" si="40"/>
        <v/>
      </c>
      <c r="V94" s="22" t="str">
        <f t="shared" ca="1" si="40"/>
        <v/>
      </c>
      <c r="W94" s="23" t="str">
        <f t="shared" ca="1" si="40"/>
        <v/>
      </c>
      <c r="Y94" s="21" t="str">
        <f t="shared" ca="1" si="43"/>
        <v/>
      </c>
      <c r="Z94" s="22" t="str">
        <f t="shared" ca="1" si="43"/>
        <v/>
      </c>
      <c r="AA94" s="22" t="str">
        <f t="shared" ca="1" si="43"/>
        <v/>
      </c>
      <c r="AB94" s="22" t="str">
        <f t="shared" ca="1" si="43"/>
        <v/>
      </c>
      <c r="AC94" s="22" t="str">
        <f t="shared" ca="1" si="43"/>
        <v/>
      </c>
      <c r="AD94" s="22" t="str">
        <f t="shared" ca="1" si="42"/>
        <v/>
      </c>
      <c r="AE94" s="22" t="str">
        <f t="shared" ca="1" si="42"/>
        <v/>
      </c>
      <c r="AF94" s="22" t="str">
        <f t="shared" ca="1" si="42"/>
        <v/>
      </c>
      <c r="AG94" s="22" t="str">
        <f t="shared" ca="1" si="42"/>
        <v/>
      </c>
      <c r="AH94" s="23" t="str">
        <f t="shared" ca="1" si="42"/>
        <v/>
      </c>
      <c r="AJ94" s="12" t="e">
        <f t="shared" si="28"/>
        <v>#N/A</v>
      </c>
      <c r="AK94" s="51" t="e">
        <f t="shared" si="29"/>
        <v>#N/A</v>
      </c>
      <c r="AL94" s="16" t="e">
        <f t="shared" si="30"/>
        <v>#N/A</v>
      </c>
      <c r="AM94" s="16" t="e">
        <f t="shared" si="31"/>
        <v>#N/A</v>
      </c>
      <c r="AN94" s="10" t="e">
        <f t="shared" ca="1" si="32"/>
        <v>#N/A</v>
      </c>
      <c r="AO94" s="10" t="e">
        <f t="shared" ca="1" si="33"/>
        <v>#N/A</v>
      </c>
      <c r="AP94" s="10" t="e">
        <f t="shared" si="34"/>
        <v>#N/A</v>
      </c>
      <c r="AQ94" s="10" t="e">
        <f t="shared" si="35"/>
        <v>#N/A</v>
      </c>
      <c r="AR94" s="10" t="e">
        <f t="shared" si="35"/>
        <v>#N/A</v>
      </c>
      <c r="BC94" s="29"/>
    </row>
    <row r="95" spans="2:55" x14ac:dyDescent="0.25">
      <c r="B95" s="41"/>
      <c r="C95" s="58"/>
      <c r="D95" s="63"/>
      <c r="E95" s="39"/>
      <c r="F95" s="60"/>
      <c r="G95" s="42" t="str">
        <f t="shared" si="41"/>
        <v/>
      </c>
      <c r="H95" s="45">
        <f t="shared" ca="1" si="36"/>
        <v>51</v>
      </c>
      <c r="I95" s="36">
        <f t="shared" ca="1" si="37"/>
        <v>0</v>
      </c>
      <c r="J95" s="36">
        <f t="shared" ca="1" si="38"/>
        <v>0</v>
      </c>
      <c r="L95" s="1">
        <f t="shared" ca="1" si="39"/>
        <v>0</v>
      </c>
      <c r="N95" s="21" t="str">
        <f t="shared" ca="1" si="40"/>
        <v/>
      </c>
      <c r="O95" s="22" t="str">
        <f t="shared" ca="1" si="40"/>
        <v/>
      </c>
      <c r="P95" s="22" t="str">
        <f t="shared" ca="1" si="40"/>
        <v/>
      </c>
      <c r="Q95" s="22" t="str">
        <f t="shared" ca="1" si="40"/>
        <v/>
      </c>
      <c r="R95" s="22" t="str">
        <f t="shared" ca="1" si="40"/>
        <v/>
      </c>
      <c r="S95" s="22" t="str">
        <f t="shared" ca="1" si="40"/>
        <v/>
      </c>
      <c r="T95" s="22" t="str">
        <f t="shared" ca="1" si="40"/>
        <v/>
      </c>
      <c r="U95" s="22" t="str">
        <f t="shared" ca="1" si="40"/>
        <v/>
      </c>
      <c r="V95" s="22" t="str">
        <f t="shared" ca="1" si="40"/>
        <v/>
      </c>
      <c r="W95" s="23" t="str">
        <f t="shared" ca="1" si="40"/>
        <v/>
      </c>
      <c r="Y95" s="21" t="str">
        <f t="shared" ca="1" si="43"/>
        <v/>
      </c>
      <c r="Z95" s="22" t="str">
        <f t="shared" ca="1" si="43"/>
        <v/>
      </c>
      <c r="AA95" s="22" t="str">
        <f t="shared" ca="1" si="43"/>
        <v/>
      </c>
      <c r="AB95" s="22" t="str">
        <f t="shared" ca="1" si="43"/>
        <v/>
      </c>
      <c r="AC95" s="22" t="str">
        <f t="shared" ca="1" si="43"/>
        <v/>
      </c>
      <c r="AD95" s="22" t="str">
        <f t="shared" ca="1" si="42"/>
        <v/>
      </c>
      <c r="AE95" s="22" t="str">
        <f t="shared" ca="1" si="42"/>
        <v/>
      </c>
      <c r="AF95" s="22" t="str">
        <f t="shared" ca="1" si="42"/>
        <v/>
      </c>
      <c r="AG95" s="22" t="str">
        <f t="shared" ca="1" si="42"/>
        <v/>
      </c>
      <c r="AH95" s="23" t="str">
        <f t="shared" ca="1" si="42"/>
        <v/>
      </c>
      <c r="AJ95" s="12" t="e">
        <f t="shared" si="28"/>
        <v>#N/A</v>
      </c>
      <c r="AK95" s="51" t="e">
        <f t="shared" si="29"/>
        <v>#N/A</v>
      </c>
      <c r="AL95" s="16" t="e">
        <f t="shared" si="30"/>
        <v>#N/A</v>
      </c>
      <c r="AM95" s="16" t="e">
        <f t="shared" si="31"/>
        <v>#N/A</v>
      </c>
      <c r="AN95" s="10" t="e">
        <f t="shared" ca="1" si="32"/>
        <v>#N/A</v>
      </c>
      <c r="AO95" s="10" t="e">
        <f t="shared" ca="1" si="33"/>
        <v>#N/A</v>
      </c>
      <c r="AP95" s="10" t="e">
        <f t="shared" si="34"/>
        <v>#N/A</v>
      </c>
      <c r="AQ95" s="10" t="e">
        <f t="shared" si="35"/>
        <v>#N/A</v>
      </c>
      <c r="AR95" s="10" t="e">
        <f t="shared" si="35"/>
        <v>#N/A</v>
      </c>
      <c r="BC95" s="29"/>
    </row>
    <row r="96" spans="2:55" x14ac:dyDescent="0.25">
      <c r="B96" s="41"/>
      <c r="C96" s="58"/>
      <c r="D96" s="63"/>
      <c r="E96" s="39"/>
      <c r="F96" s="60"/>
      <c r="G96" s="42" t="str">
        <f t="shared" si="41"/>
        <v/>
      </c>
      <c r="H96" s="45">
        <f t="shared" ca="1" si="36"/>
        <v>51</v>
      </c>
      <c r="I96" s="36">
        <f t="shared" ca="1" si="37"/>
        <v>0</v>
      </c>
      <c r="J96" s="36">
        <f t="shared" ca="1" si="38"/>
        <v>0</v>
      </c>
      <c r="L96" s="1">
        <f t="shared" ca="1" si="39"/>
        <v>0</v>
      </c>
      <c r="N96" s="21" t="str">
        <f t="shared" ca="1" si="40"/>
        <v/>
      </c>
      <c r="O96" s="22" t="str">
        <f t="shared" ca="1" si="40"/>
        <v/>
      </c>
      <c r="P96" s="22" t="str">
        <f t="shared" ca="1" si="40"/>
        <v/>
      </c>
      <c r="Q96" s="22" t="str">
        <f t="shared" ca="1" si="40"/>
        <v/>
      </c>
      <c r="R96" s="22" t="str">
        <f t="shared" ca="1" si="40"/>
        <v/>
      </c>
      <c r="S96" s="22" t="str">
        <f t="shared" ca="1" si="40"/>
        <v/>
      </c>
      <c r="T96" s="22" t="str">
        <f t="shared" ca="1" si="40"/>
        <v/>
      </c>
      <c r="U96" s="22" t="str">
        <f t="shared" ca="1" si="40"/>
        <v/>
      </c>
      <c r="V96" s="22" t="str">
        <f t="shared" ca="1" si="40"/>
        <v/>
      </c>
      <c r="W96" s="23" t="str">
        <f t="shared" ca="1" si="40"/>
        <v/>
      </c>
      <c r="Y96" s="21" t="str">
        <f t="shared" ca="1" si="43"/>
        <v/>
      </c>
      <c r="Z96" s="22" t="str">
        <f t="shared" ca="1" si="43"/>
        <v/>
      </c>
      <c r="AA96" s="22" t="str">
        <f t="shared" ca="1" si="43"/>
        <v/>
      </c>
      <c r="AB96" s="22" t="str">
        <f t="shared" ca="1" si="43"/>
        <v/>
      </c>
      <c r="AC96" s="22" t="str">
        <f t="shared" ca="1" si="43"/>
        <v/>
      </c>
      <c r="AD96" s="22" t="str">
        <f t="shared" ca="1" si="42"/>
        <v/>
      </c>
      <c r="AE96" s="22" t="str">
        <f t="shared" ca="1" si="42"/>
        <v/>
      </c>
      <c r="AF96" s="22" t="str">
        <f t="shared" ca="1" si="42"/>
        <v/>
      </c>
      <c r="AG96" s="22" t="str">
        <f t="shared" ca="1" si="42"/>
        <v/>
      </c>
      <c r="AH96" s="23" t="str">
        <f t="shared" ca="1" si="42"/>
        <v/>
      </c>
      <c r="AJ96" s="12" t="e">
        <f t="shared" si="28"/>
        <v>#N/A</v>
      </c>
      <c r="AK96" s="51" t="e">
        <f t="shared" si="29"/>
        <v>#N/A</v>
      </c>
      <c r="AL96" s="16" t="e">
        <f t="shared" si="30"/>
        <v>#N/A</v>
      </c>
      <c r="AM96" s="16" t="e">
        <f t="shared" si="31"/>
        <v>#N/A</v>
      </c>
      <c r="AN96" s="10" t="e">
        <f t="shared" ca="1" si="32"/>
        <v>#N/A</v>
      </c>
      <c r="AO96" s="10" t="e">
        <f t="shared" ca="1" si="33"/>
        <v>#N/A</v>
      </c>
      <c r="AP96" s="10" t="e">
        <f t="shared" si="34"/>
        <v>#N/A</v>
      </c>
      <c r="AQ96" s="10" t="e">
        <f t="shared" si="35"/>
        <v>#N/A</v>
      </c>
      <c r="AR96" s="10" t="e">
        <f t="shared" si="35"/>
        <v>#N/A</v>
      </c>
      <c r="BC96" s="29"/>
    </row>
    <row r="97" spans="2:55" x14ac:dyDescent="0.25">
      <c r="B97" s="41"/>
      <c r="C97" s="58"/>
      <c r="D97" s="63"/>
      <c r="E97" s="39"/>
      <c r="F97" s="60"/>
      <c r="G97" s="42" t="str">
        <f t="shared" si="41"/>
        <v/>
      </c>
      <c r="H97" s="45">
        <f t="shared" ca="1" si="36"/>
        <v>51</v>
      </c>
      <c r="I97" s="36">
        <f t="shared" ca="1" si="37"/>
        <v>0</v>
      </c>
      <c r="J97" s="36">
        <f t="shared" ca="1" si="38"/>
        <v>0</v>
      </c>
      <c r="L97" s="1">
        <f t="shared" ca="1" si="39"/>
        <v>0</v>
      </c>
      <c r="N97" s="21" t="str">
        <f t="shared" ca="1" si="40"/>
        <v/>
      </c>
      <c r="O97" s="22" t="str">
        <f t="shared" ca="1" si="40"/>
        <v/>
      </c>
      <c r="P97" s="22" t="str">
        <f t="shared" ca="1" si="40"/>
        <v/>
      </c>
      <c r="Q97" s="22" t="str">
        <f t="shared" ca="1" si="40"/>
        <v/>
      </c>
      <c r="R97" s="22" t="str">
        <f t="shared" ca="1" si="40"/>
        <v/>
      </c>
      <c r="S97" s="22" t="str">
        <f t="shared" ca="1" si="40"/>
        <v/>
      </c>
      <c r="T97" s="22" t="str">
        <f t="shared" ca="1" si="40"/>
        <v/>
      </c>
      <c r="U97" s="22" t="str">
        <f t="shared" ca="1" si="40"/>
        <v/>
      </c>
      <c r="V97" s="22" t="str">
        <f t="shared" ca="1" si="40"/>
        <v/>
      </c>
      <c r="W97" s="23" t="str">
        <f t="shared" ca="1" si="40"/>
        <v/>
      </c>
      <c r="Y97" s="21" t="str">
        <f t="shared" ca="1" si="43"/>
        <v/>
      </c>
      <c r="Z97" s="22" t="str">
        <f t="shared" ca="1" si="43"/>
        <v/>
      </c>
      <c r="AA97" s="22" t="str">
        <f t="shared" ca="1" si="43"/>
        <v/>
      </c>
      <c r="AB97" s="22" t="str">
        <f t="shared" ca="1" si="43"/>
        <v/>
      </c>
      <c r="AC97" s="22" t="str">
        <f t="shared" ca="1" si="43"/>
        <v/>
      </c>
      <c r="AD97" s="22" t="str">
        <f t="shared" ca="1" si="42"/>
        <v/>
      </c>
      <c r="AE97" s="22" t="str">
        <f t="shared" ca="1" si="42"/>
        <v/>
      </c>
      <c r="AF97" s="22" t="str">
        <f t="shared" ca="1" si="42"/>
        <v/>
      </c>
      <c r="AG97" s="22" t="str">
        <f t="shared" ca="1" si="42"/>
        <v/>
      </c>
      <c r="AH97" s="23" t="str">
        <f t="shared" ca="1" si="42"/>
        <v/>
      </c>
      <c r="AJ97" s="12" t="e">
        <f t="shared" si="28"/>
        <v>#N/A</v>
      </c>
      <c r="AK97" s="51" t="e">
        <f t="shared" si="29"/>
        <v>#N/A</v>
      </c>
      <c r="AL97" s="16" t="e">
        <f t="shared" si="30"/>
        <v>#N/A</v>
      </c>
      <c r="AM97" s="16" t="e">
        <f t="shared" si="31"/>
        <v>#N/A</v>
      </c>
      <c r="AN97" s="10" t="e">
        <f t="shared" ca="1" si="32"/>
        <v>#N/A</v>
      </c>
      <c r="AO97" s="10" t="e">
        <f t="shared" ca="1" si="33"/>
        <v>#N/A</v>
      </c>
      <c r="AP97" s="10" t="e">
        <f t="shared" si="34"/>
        <v>#N/A</v>
      </c>
      <c r="AQ97" s="10" t="e">
        <f t="shared" si="35"/>
        <v>#N/A</v>
      </c>
      <c r="AR97" s="10" t="e">
        <f t="shared" si="35"/>
        <v>#N/A</v>
      </c>
      <c r="BC97" s="29"/>
    </row>
    <row r="98" spans="2:55" x14ac:dyDescent="0.25">
      <c r="B98" s="41"/>
      <c r="C98" s="58"/>
      <c r="D98" s="63"/>
      <c r="E98" s="39"/>
      <c r="F98" s="60"/>
      <c r="G98" s="42" t="str">
        <f t="shared" si="41"/>
        <v/>
      </c>
      <c r="H98" s="45">
        <f t="shared" ca="1" si="36"/>
        <v>51</v>
      </c>
      <c r="I98" s="36">
        <f t="shared" ca="1" si="37"/>
        <v>0</v>
      </c>
      <c r="J98" s="36">
        <f t="shared" ca="1" si="38"/>
        <v>0</v>
      </c>
      <c r="L98" s="1">
        <f t="shared" ca="1" si="39"/>
        <v>0</v>
      </c>
      <c r="N98" s="21" t="str">
        <f t="shared" ca="1" si="40"/>
        <v/>
      </c>
      <c r="O98" s="22" t="str">
        <f t="shared" ca="1" si="40"/>
        <v/>
      </c>
      <c r="P98" s="22" t="str">
        <f t="shared" ca="1" si="40"/>
        <v/>
      </c>
      <c r="Q98" s="22" t="str">
        <f t="shared" ca="1" si="40"/>
        <v/>
      </c>
      <c r="R98" s="22" t="str">
        <f t="shared" ca="1" si="40"/>
        <v/>
      </c>
      <c r="S98" s="22" t="str">
        <f t="shared" ca="1" si="40"/>
        <v/>
      </c>
      <c r="T98" s="22" t="str">
        <f t="shared" ca="1" si="40"/>
        <v/>
      </c>
      <c r="U98" s="22" t="str">
        <f t="shared" ca="1" si="40"/>
        <v/>
      </c>
      <c r="V98" s="22" t="str">
        <f t="shared" ca="1" si="40"/>
        <v/>
      </c>
      <c r="W98" s="23" t="str">
        <f t="shared" ca="1" si="40"/>
        <v/>
      </c>
      <c r="Y98" s="21" t="str">
        <f t="shared" ca="1" si="43"/>
        <v/>
      </c>
      <c r="Z98" s="22" t="str">
        <f t="shared" ca="1" si="43"/>
        <v/>
      </c>
      <c r="AA98" s="22" t="str">
        <f t="shared" ca="1" si="43"/>
        <v/>
      </c>
      <c r="AB98" s="22" t="str">
        <f t="shared" ca="1" si="43"/>
        <v/>
      </c>
      <c r="AC98" s="22" t="str">
        <f t="shared" ca="1" si="43"/>
        <v/>
      </c>
      <c r="AD98" s="22" t="str">
        <f t="shared" ca="1" si="42"/>
        <v/>
      </c>
      <c r="AE98" s="22" t="str">
        <f t="shared" ca="1" si="42"/>
        <v/>
      </c>
      <c r="AF98" s="22" t="str">
        <f t="shared" ca="1" si="42"/>
        <v/>
      </c>
      <c r="AG98" s="22" t="str">
        <f t="shared" ca="1" si="42"/>
        <v/>
      </c>
      <c r="AH98" s="23" t="str">
        <f t="shared" ca="1" si="42"/>
        <v/>
      </c>
      <c r="AJ98" s="12" t="e">
        <f t="shared" si="28"/>
        <v>#N/A</v>
      </c>
      <c r="AK98" s="51" t="e">
        <f t="shared" si="29"/>
        <v>#N/A</v>
      </c>
      <c r="AL98" s="16" t="e">
        <f t="shared" si="30"/>
        <v>#N/A</v>
      </c>
      <c r="AM98" s="16" t="e">
        <f t="shared" si="31"/>
        <v>#N/A</v>
      </c>
      <c r="AN98" s="10" t="e">
        <f t="shared" ca="1" si="32"/>
        <v>#N/A</v>
      </c>
      <c r="AO98" s="10" t="e">
        <f t="shared" ca="1" si="33"/>
        <v>#N/A</v>
      </c>
      <c r="AP98" s="10" t="e">
        <f t="shared" si="34"/>
        <v>#N/A</v>
      </c>
      <c r="AQ98" s="10" t="e">
        <f t="shared" si="35"/>
        <v>#N/A</v>
      </c>
      <c r="AR98" s="10" t="e">
        <f t="shared" si="35"/>
        <v>#N/A</v>
      </c>
      <c r="BC98" s="29"/>
    </row>
    <row r="99" spans="2:55" x14ac:dyDescent="0.25">
      <c r="B99" s="41"/>
      <c r="C99" s="58"/>
      <c r="D99" s="63"/>
      <c r="E99" s="39"/>
      <c r="F99" s="60"/>
      <c r="G99" s="42" t="str">
        <f t="shared" si="41"/>
        <v/>
      </c>
      <c r="H99" s="45">
        <f t="shared" ca="1" si="36"/>
        <v>51</v>
      </c>
      <c r="I99" s="36">
        <f t="shared" ca="1" si="37"/>
        <v>0</v>
      </c>
      <c r="J99" s="36">
        <f t="shared" ca="1" si="38"/>
        <v>0</v>
      </c>
      <c r="L99" s="1">
        <f t="shared" ca="1" si="39"/>
        <v>0</v>
      </c>
      <c r="N99" s="21" t="str">
        <f t="shared" ca="1" si="40"/>
        <v/>
      </c>
      <c r="O99" s="22" t="str">
        <f t="shared" ca="1" si="40"/>
        <v/>
      </c>
      <c r="P99" s="22" t="str">
        <f t="shared" ca="1" si="40"/>
        <v/>
      </c>
      <c r="Q99" s="22" t="str">
        <f t="shared" ca="1" si="40"/>
        <v/>
      </c>
      <c r="R99" s="22" t="str">
        <f t="shared" ca="1" si="40"/>
        <v/>
      </c>
      <c r="S99" s="22" t="str">
        <f t="shared" ca="1" si="40"/>
        <v/>
      </c>
      <c r="T99" s="22" t="str">
        <f t="shared" ca="1" si="40"/>
        <v/>
      </c>
      <c r="U99" s="22" t="str">
        <f t="shared" ca="1" si="40"/>
        <v/>
      </c>
      <c r="V99" s="22" t="str">
        <f t="shared" ca="1" si="40"/>
        <v/>
      </c>
      <c r="W99" s="23" t="str">
        <f t="shared" ca="1" si="40"/>
        <v/>
      </c>
      <c r="Y99" s="21" t="str">
        <f t="shared" ca="1" si="43"/>
        <v/>
      </c>
      <c r="Z99" s="22" t="str">
        <f t="shared" ca="1" si="43"/>
        <v/>
      </c>
      <c r="AA99" s="22" t="str">
        <f t="shared" ca="1" si="43"/>
        <v/>
      </c>
      <c r="AB99" s="22" t="str">
        <f t="shared" ca="1" si="43"/>
        <v/>
      </c>
      <c r="AC99" s="22" t="str">
        <f t="shared" ca="1" si="43"/>
        <v/>
      </c>
      <c r="AD99" s="22" t="str">
        <f t="shared" ca="1" si="42"/>
        <v/>
      </c>
      <c r="AE99" s="22" t="str">
        <f t="shared" ca="1" si="42"/>
        <v/>
      </c>
      <c r="AF99" s="22" t="str">
        <f t="shared" ca="1" si="42"/>
        <v/>
      </c>
      <c r="AG99" s="22" t="str">
        <f t="shared" ca="1" si="42"/>
        <v/>
      </c>
      <c r="AH99" s="23" t="str">
        <f t="shared" ca="1" si="42"/>
        <v/>
      </c>
      <c r="AJ99" s="12" t="e">
        <f t="shared" si="28"/>
        <v>#N/A</v>
      </c>
      <c r="AK99" s="51" t="e">
        <f t="shared" si="29"/>
        <v>#N/A</v>
      </c>
      <c r="AL99" s="16" t="e">
        <f t="shared" si="30"/>
        <v>#N/A</v>
      </c>
      <c r="AM99" s="16" t="e">
        <f t="shared" si="31"/>
        <v>#N/A</v>
      </c>
      <c r="AN99" s="10" t="e">
        <f t="shared" ca="1" si="32"/>
        <v>#N/A</v>
      </c>
      <c r="AO99" s="10" t="e">
        <f t="shared" ca="1" si="33"/>
        <v>#N/A</v>
      </c>
      <c r="AP99" s="10" t="e">
        <f t="shared" si="34"/>
        <v>#N/A</v>
      </c>
      <c r="AQ99" s="10" t="e">
        <f t="shared" si="35"/>
        <v>#N/A</v>
      </c>
      <c r="AR99" s="10" t="e">
        <f t="shared" si="35"/>
        <v>#N/A</v>
      </c>
      <c r="BC99" s="29"/>
    </row>
    <row r="100" spans="2:55" x14ac:dyDescent="0.25">
      <c r="B100" s="41"/>
      <c r="C100" s="58"/>
      <c r="D100" s="63"/>
      <c r="E100" s="39"/>
      <c r="F100" s="60"/>
      <c r="G100" s="42" t="str">
        <f t="shared" si="41"/>
        <v/>
      </c>
      <c r="H100" s="45">
        <f t="shared" ca="1" si="36"/>
        <v>51</v>
      </c>
      <c r="I100" s="36">
        <f t="shared" ca="1" si="37"/>
        <v>0</v>
      </c>
      <c r="J100" s="36">
        <f t="shared" ca="1" si="38"/>
        <v>0</v>
      </c>
      <c r="L100" s="1">
        <f t="shared" ca="1" si="39"/>
        <v>0</v>
      </c>
      <c r="N100" s="21" t="str">
        <f t="shared" ca="1" si="40"/>
        <v/>
      </c>
      <c r="O100" s="22" t="str">
        <f t="shared" ca="1" si="40"/>
        <v/>
      </c>
      <c r="P100" s="22" t="str">
        <f t="shared" ca="1" si="40"/>
        <v/>
      </c>
      <c r="Q100" s="22" t="str">
        <f t="shared" ca="1" si="40"/>
        <v/>
      </c>
      <c r="R100" s="22" t="str">
        <f t="shared" ca="1" si="40"/>
        <v/>
      </c>
      <c r="S100" s="22" t="str">
        <f t="shared" ca="1" si="40"/>
        <v/>
      </c>
      <c r="T100" s="22" t="str">
        <f t="shared" ca="1" si="40"/>
        <v/>
      </c>
      <c r="U100" s="22" t="str">
        <f t="shared" ca="1" si="40"/>
        <v/>
      </c>
      <c r="V100" s="22" t="str">
        <f t="shared" ca="1" si="40"/>
        <v/>
      </c>
      <c r="W100" s="23" t="str">
        <f t="shared" ca="1" si="40"/>
        <v/>
      </c>
      <c r="Y100" s="21" t="str">
        <f t="shared" ca="1" si="43"/>
        <v/>
      </c>
      <c r="Z100" s="22" t="str">
        <f t="shared" ca="1" si="43"/>
        <v/>
      </c>
      <c r="AA100" s="22" t="str">
        <f t="shared" ca="1" si="43"/>
        <v/>
      </c>
      <c r="AB100" s="22" t="str">
        <f t="shared" ca="1" si="43"/>
        <v/>
      </c>
      <c r="AC100" s="22" t="str">
        <f t="shared" ca="1" si="43"/>
        <v/>
      </c>
      <c r="AD100" s="22" t="str">
        <f t="shared" ca="1" si="42"/>
        <v/>
      </c>
      <c r="AE100" s="22" t="str">
        <f t="shared" ca="1" si="42"/>
        <v/>
      </c>
      <c r="AF100" s="22" t="str">
        <f t="shared" ca="1" si="42"/>
        <v/>
      </c>
      <c r="AG100" s="22" t="str">
        <f t="shared" ca="1" si="42"/>
        <v/>
      </c>
      <c r="AH100" s="23" t="str">
        <f t="shared" ca="1" si="42"/>
        <v/>
      </c>
      <c r="AJ100" s="12" t="e">
        <f t="shared" si="28"/>
        <v>#N/A</v>
      </c>
      <c r="AK100" s="51" t="e">
        <f t="shared" si="29"/>
        <v>#N/A</v>
      </c>
      <c r="AL100" s="16" t="e">
        <f t="shared" si="30"/>
        <v>#N/A</v>
      </c>
      <c r="AM100" s="16" t="e">
        <f t="shared" si="31"/>
        <v>#N/A</v>
      </c>
      <c r="AN100" s="10" t="e">
        <f t="shared" ca="1" si="32"/>
        <v>#N/A</v>
      </c>
      <c r="AO100" s="10" t="e">
        <f t="shared" ca="1" si="33"/>
        <v>#N/A</v>
      </c>
      <c r="AP100" s="10" t="e">
        <f t="shared" si="34"/>
        <v>#N/A</v>
      </c>
      <c r="AQ100" s="10" t="e">
        <f t="shared" si="35"/>
        <v>#N/A</v>
      </c>
      <c r="AR100" s="10" t="e">
        <f t="shared" si="35"/>
        <v>#N/A</v>
      </c>
      <c r="BC100" s="29"/>
    </row>
    <row r="101" spans="2:55" x14ac:dyDescent="0.25">
      <c r="B101" s="41"/>
      <c r="C101" s="58"/>
      <c r="D101" s="63"/>
      <c r="E101" s="39"/>
      <c r="F101" s="60"/>
      <c r="G101" s="42" t="str">
        <f t="shared" si="41"/>
        <v/>
      </c>
      <c r="H101" s="45">
        <f t="shared" ca="1" si="36"/>
        <v>51</v>
      </c>
      <c r="I101" s="36">
        <f t="shared" ca="1" si="37"/>
        <v>0</v>
      </c>
      <c r="J101" s="36">
        <f t="shared" ca="1" si="38"/>
        <v>0</v>
      </c>
      <c r="L101" s="1">
        <f t="shared" ca="1" si="39"/>
        <v>0</v>
      </c>
      <c r="N101" s="21" t="str">
        <f t="shared" ca="1" si="40"/>
        <v/>
      </c>
      <c r="O101" s="22" t="str">
        <f t="shared" ca="1" si="40"/>
        <v/>
      </c>
      <c r="P101" s="22" t="str">
        <f t="shared" ca="1" si="40"/>
        <v/>
      </c>
      <c r="Q101" s="22" t="str">
        <f t="shared" ca="1" si="40"/>
        <v/>
      </c>
      <c r="R101" s="22" t="str">
        <f t="shared" ca="1" si="40"/>
        <v/>
      </c>
      <c r="S101" s="22" t="str">
        <f t="shared" ca="1" si="40"/>
        <v/>
      </c>
      <c r="T101" s="22" t="str">
        <f t="shared" ca="1" si="40"/>
        <v/>
      </c>
      <c r="U101" s="22" t="str">
        <f t="shared" ca="1" si="40"/>
        <v/>
      </c>
      <c r="V101" s="22" t="str">
        <f t="shared" ca="1" si="40"/>
        <v/>
      </c>
      <c r="W101" s="23" t="str">
        <f t="shared" ca="1" si="40"/>
        <v/>
      </c>
      <c r="Y101" s="21" t="str">
        <f t="shared" ca="1" si="43"/>
        <v/>
      </c>
      <c r="Z101" s="22" t="str">
        <f t="shared" ca="1" si="43"/>
        <v/>
      </c>
      <c r="AA101" s="22" t="str">
        <f t="shared" ca="1" si="43"/>
        <v/>
      </c>
      <c r="AB101" s="22" t="str">
        <f t="shared" ca="1" si="43"/>
        <v/>
      </c>
      <c r="AC101" s="22" t="str">
        <f t="shared" ca="1" si="43"/>
        <v/>
      </c>
      <c r="AD101" s="22" t="str">
        <f t="shared" ca="1" si="42"/>
        <v/>
      </c>
      <c r="AE101" s="22" t="str">
        <f t="shared" ca="1" si="42"/>
        <v/>
      </c>
      <c r="AF101" s="22" t="str">
        <f t="shared" ca="1" si="42"/>
        <v/>
      </c>
      <c r="AG101" s="22" t="str">
        <f t="shared" ca="1" si="42"/>
        <v/>
      </c>
      <c r="AH101" s="23" t="str">
        <f t="shared" ca="1" si="42"/>
        <v/>
      </c>
      <c r="AJ101" s="12" t="e">
        <f t="shared" si="28"/>
        <v>#N/A</v>
      </c>
      <c r="AK101" s="51" t="e">
        <f t="shared" si="29"/>
        <v>#N/A</v>
      </c>
      <c r="AL101" s="16" t="e">
        <f t="shared" si="30"/>
        <v>#N/A</v>
      </c>
      <c r="AM101" s="16" t="e">
        <f t="shared" si="31"/>
        <v>#N/A</v>
      </c>
      <c r="AN101" s="10" t="e">
        <f t="shared" ca="1" si="32"/>
        <v>#N/A</v>
      </c>
      <c r="AO101" s="10" t="e">
        <f t="shared" ca="1" si="33"/>
        <v>#N/A</v>
      </c>
      <c r="AP101" s="10" t="e">
        <f t="shared" si="34"/>
        <v>#N/A</v>
      </c>
      <c r="AQ101" s="10" t="e">
        <f t="shared" si="35"/>
        <v>#N/A</v>
      </c>
      <c r="AR101" s="10" t="e">
        <f t="shared" si="35"/>
        <v>#N/A</v>
      </c>
      <c r="BC101" s="29"/>
    </row>
    <row r="102" spans="2:55" x14ac:dyDescent="0.25">
      <c r="B102" s="41"/>
      <c r="C102" s="58"/>
      <c r="D102" s="63"/>
      <c r="E102" s="39"/>
      <c r="F102" s="60"/>
      <c r="G102" s="42" t="str">
        <f t="shared" si="41"/>
        <v/>
      </c>
      <c r="H102" s="45">
        <f t="shared" ca="1" si="36"/>
        <v>51</v>
      </c>
      <c r="I102" s="36">
        <f t="shared" ca="1" si="37"/>
        <v>0</v>
      </c>
      <c r="J102" s="36">
        <f t="shared" ca="1" si="38"/>
        <v>0</v>
      </c>
      <c r="L102" s="1">
        <f t="shared" ca="1" si="39"/>
        <v>0</v>
      </c>
      <c r="N102" s="21" t="str">
        <f t="shared" ca="1" si="40"/>
        <v/>
      </c>
      <c r="O102" s="22" t="str">
        <f t="shared" ca="1" si="40"/>
        <v/>
      </c>
      <c r="P102" s="22" t="str">
        <f t="shared" ca="1" si="40"/>
        <v/>
      </c>
      <c r="Q102" s="22" t="str">
        <f t="shared" ca="1" si="40"/>
        <v/>
      </c>
      <c r="R102" s="22" t="str">
        <f t="shared" ca="1" si="40"/>
        <v/>
      </c>
      <c r="S102" s="22" t="str">
        <f t="shared" ca="1" si="40"/>
        <v/>
      </c>
      <c r="T102" s="22" t="str">
        <f t="shared" ca="1" si="40"/>
        <v/>
      </c>
      <c r="U102" s="22" t="str">
        <f t="shared" ca="1" si="40"/>
        <v/>
      </c>
      <c r="V102" s="22" t="str">
        <f t="shared" ca="1" si="40"/>
        <v/>
      </c>
      <c r="W102" s="23" t="str">
        <f t="shared" ca="1" si="40"/>
        <v/>
      </c>
      <c r="Y102" s="21" t="str">
        <f t="shared" ca="1" si="43"/>
        <v/>
      </c>
      <c r="Z102" s="22" t="str">
        <f t="shared" ca="1" si="43"/>
        <v/>
      </c>
      <c r="AA102" s="22" t="str">
        <f t="shared" ca="1" si="43"/>
        <v/>
      </c>
      <c r="AB102" s="22" t="str">
        <f t="shared" ca="1" si="43"/>
        <v/>
      </c>
      <c r="AC102" s="22" t="str">
        <f t="shared" ca="1" si="43"/>
        <v/>
      </c>
      <c r="AD102" s="22" t="str">
        <f t="shared" ca="1" si="42"/>
        <v/>
      </c>
      <c r="AE102" s="22" t="str">
        <f t="shared" ca="1" si="42"/>
        <v/>
      </c>
      <c r="AF102" s="22" t="str">
        <f t="shared" ca="1" si="42"/>
        <v/>
      </c>
      <c r="AG102" s="22" t="str">
        <f t="shared" ca="1" si="42"/>
        <v/>
      </c>
      <c r="AH102" s="23" t="str">
        <f t="shared" ca="1" si="42"/>
        <v/>
      </c>
      <c r="AJ102" s="12" t="e">
        <f t="shared" si="28"/>
        <v>#N/A</v>
      </c>
      <c r="AK102" s="51" t="e">
        <f t="shared" si="29"/>
        <v>#N/A</v>
      </c>
      <c r="AL102" s="16" t="e">
        <f t="shared" si="30"/>
        <v>#N/A</v>
      </c>
      <c r="AM102" s="16" t="e">
        <f t="shared" si="31"/>
        <v>#N/A</v>
      </c>
      <c r="AN102" s="10" t="e">
        <f t="shared" ca="1" si="32"/>
        <v>#N/A</v>
      </c>
      <c r="AO102" s="10" t="e">
        <f t="shared" ca="1" si="33"/>
        <v>#N/A</v>
      </c>
      <c r="AP102" s="10" t="e">
        <f t="shared" si="34"/>
        <v>#N/A</v>
      </c>
      <c r="AQ102" s="10" t="e">
        <f t="shared" si="35"/>
        <v>#N/A</v>
      </c>
      <c r="AR102" s="10" t="e">
        <f t="shared" si="35"/>
        <v>#N/A</v>
      </c>
      <c r="BC102" s="29"/>
    </row>
    <row r="103" spans="2:55" x14ac:dyDescent="0.25">
      <c r="B103" s="41"/>
      <c r="C103" s="58"/>
      <c r="D103" s="63"/>
      <c r="E103" s="39"/>
      <c r="F103" s="60"/>
      <c r="G103" s="42" t="str">
        <f t="shared" si="41"/>
        <v/>
      </c>
      <c r="H103" s="45">
        <f t="shared" ca="1" si="36"/>
        <v>51</v>
      </c>
      <c r="I103" s="36">
        <f t="shared" ca="1" si="37"/>
        <v>0</v>
      </c>
      <c r="J103" s="36">
        <f t="shared" ca="1" si="38"/>
        <v>0</v>
      </c>
      <c r="L103" s="1">
        <f t="shared" ca="1" si="39"/>
        <v>0</v>
      </c>
      <c r="N103" s="21" t="str">
        <f t="shared" ca="1" si="40"/>
        <v/>
      </c>
      <c r="O103" s="22" t="str">
        <f t="shared" ca="1" si="40"/>
        <v/>
      </c>
      <c r="P103" s="22" t="str">
        <f t="shared" ca="1" si="40"/>
        <v/>
      </c>
      <c r="Q103" s="22" t="str">
        <f t="shared" ca="1" si="40"/>
        <v/>
      </c>
      <c r="R103" s="22" t="str">
        <f t="shared" ca="1" si="40"/>
        <v/>
      </c>
      <c r="S103" s="22" t="str">
        <f t="shared" ca="1" si="40"/>
        <v/>
      </c>
      <c r="T103" s="22" t="str">
        <f t="shared" ca="1" si="40"/>
        <v/>
      </c>
      <c r="U103" s="22" t="str">
        <f t="shared" ca="1" si="40"/>
        <v/>
      </c>
      <c r="V103" s="22" t="str">
        <f t="shared" ca="1" si="40"/>
        <v/>
      </c>
      <c r="W103" s="23" t="str">
        <f t="shared" ca="1" si="40"/>
        <v/>
      </c>
      <c r="Y103" s="21" t="str">
        <f t="shared" ca="1" si="43"/>
        <v/>
      </c>
      <c r="Z103" s="22" t="str">
        <f t="shared" ca="1" si="43"/>
        <v/>
      </c>
      <c r="AA103" s="22" t="str">
        <f t="shared" ca="1" si="43"/>
        <v/>
      </c>
      <c r="AB103" s="22" t="str">
        <f t="shared" ca="1" si="43"/>
        <v/>
      </c>
      <c r="AC103" s="22" t="str">
        <f t="shared" ca="1" si="43"/>
        <v/>
      </c>
      <c r="AD103" s="22" t="str">
        <f t="shared" ca="1" si="42"/>
        <v/>
      </c>
      <c r="AE103" s="22" t="str">
        <f t="shared" ca="1" si="42"/>
        <v/>
      </c>
      <c r="AF103" s="22" t="str">
        <f t="shared" ca="1" si="42"/>
        <v/>
      </c>
      <c r="AG103" s="22" t="str">
        <f t="shared" ca="1" si="42"/>
        <v/>
      </c>
      <c r="AH103" s="23" t="str">
        <f t="shared" ca="1" si="42"/>
        <v/>
      </c>
      <c r="AJ103" s="12" t="e">
        <f t="shared" si="28"/>
        <v>#N/A</v>
      </c>
      <c r="AK103" s="51" t="e">
        <f t="shared" si="29"/>
        <v>#N/A</v>
      </c>
      <c r="AL103" s="16" t="e">
        <f t="shared" si="30"/>
        <v>#N/A</v>
      </c>
      <c r="AM103" s="16" t="e">
        <f t="shared" si="31"/>
        <v>#N/A</v>
      </c>
      <c r="AN103" s="10" t="e">
        <f t="shared" ca="1" si="32"/>
        <v>#N/A</v>
      </c>
      <c r="AO103" s="10" t="e">
        <f t="shared" ca="1" si="33"/>
        <v>#N/A</v>
      </c>
      <c r="AP103" s="10" t="e">
        <f t="shared" si="34"/>
        <v>#N/A</v>
      </c>
      <c r="AQ103" s="10" t="e">
        <f t="shared" si="35"/>
        <v>#N/A</v>
      </c>
      <c r="AR103" s="10" t="e">
        <f t="shared" si="35"/>
        <v>#N/A</v>
      </c>
      <c r="BC103" s="29"/>
    </row>
    <row r="104" spans="2:55" x14ac:dyDescent="0.25">
      <c r="B104" s="41"/>
      <c r="C104" s="58"/>
      <c r="D104" s="63"/>
      <c r="E104" s="39"/>
      <c r="F104" s="60"/>
      <c r="G104" s="42" t="str">
        <f t="shared" si="41"/>
        <v/>
      </c>
      <c r="H104" s="45">
        <f t="shared" ca="1" si="36"/>
        <v>51</v>
      </c>
      <c r="I104" s="36">
        <f t="shared" ca="1" si="37"/>
        <v>0</v>
      </c>
      <c r="J104" s="36">
        <f t="shared" ca="1" si="38"/>
        <v>0</v>
      </c>
      <c r="L104" s="1">
        <f t="shared" ca="1" si="39"/>
        <v>0</v>
      </c>
      <c r="N104" s="21" t="str">
        <f t="shared" ca="1" si="40"/>
        <v/>
      </c>
      <c r="O104" s="22" t="str">
        <f t="shared" ca="1" si="40"/>
        <v/>
      </c>
      <c r="P104" s="22" t="str">
        <f t="shared" ca="1" si="40"/>
        <v/>
      </c>
      <c r="Q104" s="22" t="str">
        <f t="shared" ca="1" si="40"/>
        <v/>
      </c>
      <c r="R104" s="22" t="str">
        <f t="shared" ca="1" si="40"/>
        <v/>
      </c>
      <c r="S104" s="22" t="str">
        <f t="shared" ca="1" si="40"/>
        <v/>
      </c>
      <c r="T104" s="22" t="str">
        <f t="shared" ca="1" si="40"/>
        <v/>
      </c>
      <c r="U104" s="22" t="str">
        <f t="shared" ca="1" si="40"/>
        <v/>
      </c>
      <c r="V104" s="22" t="str">
        <f t="shared" ca="1" si="40"/>
        <v/>
      </c>
      <c r="W104" s="23" t="str">
        <f t="shared" ca="1" si="40"/>
        <v/>
      </c>
      <c r="Y104" s="21" t="str">
        <f t="shared" ca="1" si="43"/>
        <v/>
      </c>
      <c r="Z104" s="22" t="str">
        <f t="shared" ca="1" si="43"/>
        <v/>
      </c>
      <c r="AA104" s="22" t="str">
        <f t="shared" ca="1" si="43"/>
        <v/>
      </c>
      <c r="AB104" s="22" t="str">
        <f t="shared" ca="1" si="43"/>
        <v/>
      </c>
      <c r="AC104" s="22" t="str">
        <f t="shared" ca="1" si="43"/>
        <v/>
      </c>
      <c r="AD104" s="22" t="str">
        <f t="shared" ca="1" si="42"/>
        <v/>
      </c>
      <c r="AE104" s="22" t="str">
        <f t="shared" ca="1" si="42"/>
        <v/>
      </c>
      <c r="AF104" s="22" t="str">
        <f t="shared" ca="1" si="42"/>
        <v/>
      </c>
      <c r="AG104" s="22" t="str">
        <f t="shared" ca="1" si="42"/>
        <v/>
      </c>
      <c r="AH104" s="23" t="str">
        <f t="shared" ca="1" si="42"/>
        <v/>
      </c>
      <c r="AJ104" s="12" t="e">
        <f t="shared" si="28"/>
        <v>#N/A</v>
      </c>
      <c r="AK104" s="51" t="e">
        <f t="shared" si="29"/>
        <v>#N/A</v>
      </c>
      <c r="AL104" s="16" t="e">
        <f t="shared" si="30"/>
        <v>#N/A</v>
      </c>
      <c r="AM104" s="16" t="e">
        <f t="shared" si="31"/>
        <v>#N/A</v>
      </c>
      <c r="AN104" s="10" t="e">
        <f t="shared" ca="1" si="32"/>
        <v>#N/A</v>
      </c>
      <c r="AO104" s="10" t="e">
        <f t="shared" ca="1" si="33"/>
        <v>#N/A</v>
      </c>
      <c r="AP104" s="10" t="e">
        <f t="shared" si="34"/>
        <v>#N/A</v>
      </c>
      <c r="AQ104" s="10" t="e">
        <f t="shared" si="35"/>
        <v>#N/A</v>
      </c>
      <c r="AR104" s="10" t="e">
        <f t="shared" si="35"/>
        <v>#N/A</v>
      </c>
      <c r="BC104" s="29"/>
    </row>
    <row r="105" spans="2:55" x14ac:dyDescent="0.25">
      <c r="B105" s="41"/>
      <c r="C105" s="58"/>
      <c r="D105" s="63"/>
      <c r="E105" s="39"/>
      <c r="F105" s="60"/>
      <c r="G105" s="42" t="str">
        <f t="shared" si="41"/>
        <v/>
      </c>
      <c r="H105" s="45">
        <f t="shared" ca="1" si="36"/>
        <v>51</v>
      </c>
      <c r="I105" s="36">
        <f t="shared" ca="1" si="37"/>
        <v>0</v>
      </c>
      <c r="J105" s="36">
        <f t="shared" ca="1" si="38"/>
        <v>0</v>
      </c>
      <c r="L105" s="1">
        <f t="shared" ca="1" si="39"/>
        <v>0</v>
      </c>
      <c r="N105" s="21" t="str">
        <f t="shared" ca="1" si="40"/>
        <v/>
      </c>
      <c r="O105" s="22" t="str">
        <f t="shared" ca="1" si="40"/>
        <v/>
      </c>
      <c r="P105" s="22" t="str">
        <f t="shared" ca="1" si="40"/>
        <v/>
      </c>
      <c r="Q105" s="22" t="str">
        <f t="shared" ca="1" si="40"/>
        <v/>
      </c>
      <c r="R105" s="22" t="str">
        <f t="shared" ca="1" si="40"/>
        <v/>
      </c>
      <c r="S105" s="22" t="str">
        <f t="shared" ca="1" si="40"/>
        <v/>
      </c>
      <c r="T105" s="22" t="str">
        <f t="shared" ca="1" si="40"/>
        <v/>
      </c>
      <c r="U105" s="22" t="str">
        <f t="shared" ca="1" si="40"/>
        <v/>
      </c>
      <c r="V105" s="22" t="str">
        <f t="shared" ca="1" si="40"/>
        <v/>
      </c>
      <c r="W105" s="23" t="str">
        <f t="shared" ca="1" si="40"/>
        <v/>
      </c>
      <c r="Y105" s="21" t="str">
        <f t="shared" ca="1" si="43"/>
        <v/>
      </c>
      <c r="Z105" s="22" t="str">
        <f t="shared" ca="1" si="43"/>
        <v/>
      </c>
      <c r="AA105" s="22" t="str">
        <f t="shared" ca="1" si="43"/>
        <v/>
      </c>
      <c r="AB105" s="22" t="str">
        <f t="shared" ca="1" si="43"/>
        <v/>
      </c>
      <c r="AC105" s="22" t="str">
        <f t="shared" ca="1" si="43"/>
        <v/>
      </c>
      <c r="AD105" s="22" t="str">
        <f t="shared" ca="1" si="42"/>
        <v/>
      </c>
      <c r="AE105" s="22" t="str">
        <f t="shared" ca="1" si="42"/>
        <v/>
      </c>
      <c r="AF105" s="22" t="str">
        <f t="shared" ca="1" si="42"/>
        <v/>
      </c>
      <c r="AG105" s="22" t="str">
        <f t="shared" ca="1" si="42"/>
        <v/>
      </c>
      <c r="AH105" s="23" t="str">
        <f t="shared" ca="1" si="42"/>
        <v/>
      </c>
      <c r="AJ105" s="12" t="e">
        <f t="shared" si="28"/>
        <v>#N/A</v>
      </c>
      <c r="AK105" s="51" t="e">
        <f t="shared" si="29"/>
        <v>#N/A</v>
      </c>
      <c r="AL105" s="16" t="e">
        <f t="shared" si="30"/>
        <v>#N/A</v>
      </c>
      <c r="AM105" s="16" t="e">
        <f t="shared" si="31"/>
        <v>#N/A</v>
      </c>
      <c r="AN105" s="10" t="e">
        <f t="shared" ca="1" si="32"/>
        <v>#N/A</v>
      </c>
      <c r="AO105" s="10" t="e">
        <f t="shared" ca="1" si="33"/>
        <v>#N/A</v>
      </c>
      <c r="AP105" s="10" t="e">
        <f t="shared" si="34"/>
        <v>#N/A</v>
      </c>
      <c r="AQ105" s="10" t="e">
        <f t="shared" si="35"/>
        <v>#N/A</v>
      </c>
      <c r="AR105" s="10" t="e">
        <f t="shared" si="35"/>
        <v>#N/A</v>
      </c>
      <c r="BC105" s="29"/>
    </row>
    <row r="106" spans="2:55" x14ac:dyDescent="0.25">
      <c r="B106" s="41"/>
      <c r="C106" s="58"/>
      <c r="D106" s="63"/>
      <c r="E106" s="39"/>
      <c r="F106" s="60"/>
      <c r="G106" s="42" t="str">
        <f t="shared" si="41"/>
        <v/>
      </c>
      <c r="H106" s="45">
        <f t="shared" ca="1" si="36"/>
        <v>51</v>
      </c>
      <c r="I106" s="36">
        <f t="shared" ca="1" si="37"/>
        <v>0</v>
      </c>
      <c r="J106" s="36">
        <f t="shared" ca="1" si="38"/>
        <v>0</v>
      </c>
      <c r="L106" s="1">
        <f t="shared" ca="1" si="39"/>
        <v>0</v>
      </c>
      <c r="N106" s="21" t="str">
        <f t="shared" ca="1" si="40"/>
        <v/>
      </c>
      <c r="O106" s="22" t="str">
        <f t="shared" ca="1" si="40"/>
        <v/>
      </c>
      <c r="P106" s="22" t="str">
        <f t="shared" ca="1" si="40"/>
        <v/>
      </c>
      <c r="Q106" s="22" t="str">
        <f t="shared" ca="1" si="40"/>
        <v/>
      </c>
      <c r="R106" s="22" t="str">
        <f t="shared" ca="1" si="40"/>
        <v/>
      </c>
      <c r="S106" s="22" t="str">
        <f t="shared" ca="1" si="40"/>
        <v/>
      </c>
      <c r="T106" s="22" t="str">
        <f t="shared" ca="1" si="40"/>
        <v/>
      </c>
      <c r="U106" s="22" t="str">
        <f t="shared" ca="1" si="40"/>
        <v/>
      </c>
      <c r="V106" s="22" t="str">
        <f t="shared" ca="1" si="40"/>
        <v/>
      </c>
      <c r="W106" s="23" t="str">
        <f t="shared" ca="1" si="40"/>
        <v/>
      </c>
      <c r="Y106" s="21" t="str">
        <f t="shared" ca="1" si="43"/>
        <v/>
      </c>
      <c r="Z106" s="22" t="str">
        <f t="shared" ca="1" si="43"/>
        <v/>
      </c>
      <c r="AA106" s="22" t="str">
        <f t="shared" ca="1" si="43"/>
        <v/>
      </c>
      <c r="AB106" s="22" t="str">
        <f t="shared" ca="1" si="43"/>
        <v/>
      </c>
      <c r="AC106" s="22" t="str">
        <f t="shared" ca="1" si="43"/>
        <v/>
      </c>
      <c r="AD106" s="22" t="str">
        <f t="shared" ca="1" si="42"/>
        <v/>
      </c>
      <c r="AE106" s="22" t="str">
        <f t="shared" ca="1" si="42"/>
        <v/>
      </c>
      <c r="AF106" s="22" t="str">
        <f t="shared" ca="1" si="42"/>
        <v/>
      </c>
      <c r="AG106" s="22" t="str">
        <f t="shared" ca="1" si="42"/>
        <v/>
      </c>
      <c r="AH106" s="23" t="str">
        <f t="shared" ca="1" si="42"/>
        <v/>
      </c>
      <c r="AJ106" s="12" t="e">
        <f t="shared" si="28"/>
        <v>#N/A</v>
      </c>
      <c r="AK106" s="51" t="e">
        <f t="shared" si="29"/>
        <v>#N/A</v>
      </c>
      <c r="AL106" s="16" t="e">
        <f t="shared" si="30"/>
        <v>#N/A</v>
      </c>
      <c r="AM106" s="16" t="e">
        <f t="shared" si="31"/>
        <v>#N/A</v>
      </c>
      <c r="AN106" s="10" t="e">
        <f t="shared" ca="1" si="32"/>
        <v>#N/A</v>
      </c>
      <c r="AO106" s="10" t="e">
        <f t="shared" ca="1" si="33"/>
        <v>#N/A</v>
      </c>
      <c r="AP106" s="10" t="e">
        <f t="shared" si="34"/>
        <v>#N/A</v>
      </c>
      <c r="AQ106" s="10" t="e">
        <f t="shared" si="35"/>
        <v>#N/A</v>
      </c>
      <c r="AR106" s="10" t="e">
        <f t="shared" si="35"/>
        <v>#N/A</v>
      </c>
      <c r="BC106" s="29"/>
    </row>
    <row r="107" spans="2:55" x14ac:dyDescent="0.25">
      <c r="B107" s="41"/>
      <c r="C107" s="58"/>
      <c r="D107" s="63"/>
      <c r="E107" s="39"/>
      <c r="F107" s="60"/>
      <c r="G107" s="42" t="str">
        <f t="shared" si="41"/>
        <v/>
      </c>
      <c r="H107" s="45">
        <f t="shared" ca="1" si="36"/>
        <v>51</v>
      </c>
      <c r="I107" s="36">
        <f t="shared" ca="1" si="37"/>
        <v>0</v>
      </c>
      <c r="J107" s="36">
        <f t="shared" ca="1" si="38"/>
        <v>0</v>
      </c>
      <c r="L107" s="1">
        <f t="shared" ca="1" si="39"/>
        <v>0</v>
      </c>
      <c r="N107" s="21" t="str">
        <f t="shared" ref="N107:W122" ca="1" si="44">IF(ISNUMBER($C107),IF($G107&lt;=$C$9,IF($L107=N$25,$C107,""),IF(COUNT(INDIRECT(ADDRESS(ROW(N$26),COLUMN())&amp;":"&amp;ADDRESS(ROW()-1,COLUMN())))&gt;$C$13,"",IF($L107=N$25,$C107,""))),"")</f>
        <v/>
      </c>
      <c r="O107" s="22" t="str">
        <f t="shared" ca="1" si="44"/>
        <v/>
      </c>
      <c r="P107" s="22" t="str">
        <f t="shared" ca="1" si="44"/>
        <v/>
      </c>
      <c r="Q107" s="22" t="str">
        <f t="shared" ca="1" si="44"/>
        <v/>
      </c>
      <c r="R107" s="22" t="str">
        <f t="shared" ca="1" si="44"/>
        <v/>
      </c>
      <c r="S107" s="22" t="str">
        <f t="shared" ca="1" si="44"/>
        <v/>
      </c>
      <c r="T107" s="22" t="str">
        <f t="shared" ca="1" si="44"/>
        <v/>
      </c>
      <c r="U107" s="22" t="str">
        <f t="shared" ca="1" si="44"/>
        <v/>
      </c>
      <c r="V107" s="22" t="str">
        <f t="shared" ca="1" si="44"/>
        <v/>
      </c>
      <c r="W107" s="23" t="str">
        <f t="shared" ca="1" si="44"/>
        <v/>
      </c>
      <c r="Y107" s="21" t="str">
        <f t="shared" ca="1" si="43"/>
        <v/>
      </c>
      <c r="Z107" s="22" t="str">
        <f t="shared" ca="1" si="43"/>
        <v/>
      </c>
      <c r="AA107" s="22" t="str">
        <f t="shared" ca="1" si="43"/>
        <v/>
      </c>
      <c r="AB107" s="22" t="str">
        <f t="shared" ca="1" si="43"/>
        <v/>
      </c>
      <c r="AC107" s="22" t="str">
        <f t="shared" ca="1" si="43"/>
        <v/>
      </c>
      <c r="AD107" s="22" t="str">
        <f t="shared" ca="1" si="42"/>
        <v/>
      </c>
      <c r="AE107" s="22" t="str">
        <f t="shared" ca="1" si="42"/>
        <v/>
      </c>
      <c r="AF107" s="22" t="str">
        <f t="shared" ca="1" si="42"/>
        <v/>
      </c>
      <c r="AG107" s="22" t="str">
        <f t="shared" ca="1" si="42"/>
        <v/>
      </c>
      <c r="AH107" s="23" t="str">
        <f t="shared" ca="1" si="42"/>
        <v/>
      </c>
      <c r="AJ107" s="12" t="e">
        <f t="shared" si="28"/>
        <v>#N/A</v>
      </c>
      <c r="AK107" s="51" t="e">
        <f t="shared" si="29"/>
        <v>#N/A</v>
      </c>
      <c r="AL107" s="16" t="e">
        <f t="shared" si="30"/>
        <v>#N/A</v>
      </c>
      <c r="AM107" s="16" t="e">
        <f t="shared" si="31"/>
        <v>#N/A</v>
      </c>
      <c r="AN107" s="10" t="e">
        <f t="shared" ca="1" si="32"/>
        <v>#N/A</v>
      </c>
      <c r="AO107" s="10" t="e">
        <f t="shared" ca="1" si="33"/>
        <v>#N/A</v>
      </c>
      <c r="AP107" s="10" t="e">
        <f t="shared" si="34"/>
        <v>#N/A</v>
      </c>
      <c r="AQ107" s="10" t="e">
        <f t="shared" si="35"/>
        <v>#N/A</v>
      </c>
      <c r="AR107" s="10" t="e">
        <f t="shared" si="35"/>
        <v>#N/A</v>
      </c>
      <c r="BC107" s="29"/>
    </row>
    <row r="108" spans="2:55" x14ac:dyDescent="0.25">
      <c r="B108" s="41"/>
      <c r="C108" s="58"/>
      <c r="D108" s="63"/>
      <c r="E108" s="39"/>
      <c r="F108" s="60"/>
      <c r="G108" s="42" t="str">
        <f t="shared" si="41"/>
        <v/>
      </c>
      <c r="H108" s="45">
        <f t="shared" ca="1" si="36"/>
        <v>51</v>
      </c>
      <c r="I108" s="36">
        <f t="shared" ca="1" si="37"/>
        <v>0</v>
      </c>
      <c r="J108" s="36">
        <f t="shared" ca="1" si="38"/>
        <v>0</v>
      </c>
      <c r="L108" s="1">
        <f t="shared" ca="1" si="39"/>
        <v>0</v>
      </c>
      <c r="N108" s="21" t="str">
        <f t="shared" ca="1" si="44"/>
        <v/>
      </c>
      <c r="O108" s="22" t="str">
        <f t="shared" ca="1" si="44"/>
        <v/>
      </c>
      <c r="P108" s="22" t="str">
        <f t="shared" ca="1" si="44"/>
        <v/>
      </c>
      <c r="Q108" s="22" t="str">
        <f t="shared" ca="1" si="44"/>
        <v/>
      </c>
      <c r="R108" s="22" t="str">
        <f t="shared" ca="1" si="44"/>
        <v/>
      </c>
      <c r="S108" s="22" t="str">
        <f t="shared" ca="1" si="44"/>
        <v/>
      </c>
      <c r="T108" s="22" t="str">
        <f t="shared" ca="1" si="44"/>
        <v/>
      </c>
      <c r="U108" s="22" t="str">
        <f t="shared" ca="1" si="44"/>
        <v/>
      </c>
      <c r="V108" s="22" t="str">
        <f t="shared" ca="1" si="44"/>
        <v/>
      </c>
      <c r="W108" s="23" t="str">
        <f t="shared" ca="1" si="44"/>
        <v/>
      </c>
      <c r="Y108" s="21" t="str">
        <f t="shared" ca="1" si="43"/>
        <v/>
      </c>
      <c r="Z108" s="22" t="str">
        <f t="shared" ca="1" si="43"/>
        <v/>
      </c>
      <c r="AA108" s="22" t="str">
        <f t="shared" ca="1" si="43"/>
        <v/>
      </c>
      <c r="AB108" s="22" t="str">
        <f t="shared" ca="1" si="43"/>
        <v/>
      </c>
      <c r="AC108" s="22" t="str">
        <f t="shared" ca="1" si="43"/>
        <v/>
      </c>
      <c r="AD108" s="22" t="str">
        <f t="shared" ca="1" si="42"/>
        <v/>
      </c>
      <c r="AE108" s="22" t="str">
        <f t="shared" ca="1" si="42"/>
        <v/>
      </c>
      <c r="AF108" s="22" t="str">
        <f t="shared" ca="1" si="42"/>
        <v/>
      </c>
      <c r="AG108" s="22" t="str">
        <f t="shared" ca="1" si="42"/>
        <v/>
      </c>
      <c r="AH108" s="23" t="str">
        <f t="shared" ca="1" si="42"/>
        <v/>
      </c>
      <c r="AJ108" s="12" t="e">
        <f t="shared" si="28"/>
        <v>#N/A</v>
      </c>
      <c r="AK108" s="51" t="e">
        <f t="shared" si="29"/>
        <v>#N/A</v>
      </c>
      <c r="AL108" s="16" t="e">
        <f t="shared" si="30"/>
        <v>#N/A</v>
      </c>
      <c r="AM108" s="16" t="e">
        <f t="shared" si="31"/>
        <v>#N/A</v>
      </c>
      <c r="AN108" s="10" t="e">
        <f t="shared" ca="1" si="32"/>
        <v>#N/A</v>
      </c>
      <c r="AO108" s="10" t="e">
        <f t="shared" ca="1" si="33"/>
        <v>#N/A</v>
      </c>
      <c r="AP108" s="10" t="e">
        <f t="shared" si="34"/>
        <v>#N/A</v>
      </c>
      <c r="AQ108" s="10" t="e">
        <f t="shared" si="35"/>
        <v>#N/A</v>
      </c>
      <c r="AR108" s="10" t="e">
        <f t="shared" si="35"/>
        <v>#N/A</v>
      </c>
      <c r="BC108" s="29"/>
    </row>
    <row r="109" spans="2:55" x14ac:dyDescent="0.25">
      <c r="B109" s="41"/>
      <c r="C109" s="58"/>
      <c r="D109" s="63"/>
      <c r="E109" s="39"/>
      <c r="F109" s="60"/>
      <c r="G109" s="42" t="str">
        <f t="shared" si="41"/>
        <v/>
      </c>
      <c r="H109" s="45">
        <f t="shared" ca="1" si="36"/>
        <v>51</v>
      </c>
      <c r="I109" s="36">
        <f t="shared" ca="1" si="37"/>
        <v>0</v>
      </c>
      <c r="J109" s="36">
        <f t="shared" ca="1" si="38"/>
        <v>0</v>
      </c>
      <c r="L109" s="1">
        <f t="shared" ca="1" si="39"/>
        <v>0</v>
      </c>
      <c r="N109" s="21" t="str">
        <f t="shared" ca="1" si="44"/>
        <v/>
      </c>
      <c r="O109" s="22" t="str">
        <f t="shared" ca="1" si="44"/>
        <v/>
      </c>
      <c r="P109" s="22" t="str">
        <f t="shared" ca="1" si="44"/>
        <v/>
      </c>
      <c r="Q109" s="22" t="str">
        <f t="shared" ca="1" si="44"/>
        <v/>
      </c>
      <c r="R109" s="22" t="str">
        <f t="shared" ca="1" si="44"/>
        <v/>
      </c>
      <c r="S109" s="22" t="str">
        <f t="shared" ca="1" si="44"/>
        <v/>
      </c>
      <c r="T109" s="22" t="str">
        <f t="shared" ca="1" si="44"/>
        <v/>
      </c>
      <c r="U109" s="22" t="str">
        <f t="shared" ca="1" si="44"/>
        <v/>
      </c>
      <c r="V109" s="22" t="str">
        <f t="shared" ca="1" si="44"/>
        <v/>
      </c>
      <c r="W109" s="23" t="str">
        <f t="shared" ca="1" si="44"/>
        <v/>
      </c>
      <c r="Y109" s="21" t="str">
        <f t="shared" ca="1" si="43"/>
        <v/>
      </c>
      <c r="Z109" s="22" t="str">
        <f t="shared" ca="1" si="43"/>
        <v/>
      </c>
      <c r="AA109" s="22" t="str">
        <f t="shared" ca="1" si="43"/>
        <v/>
      </c>
      <c r="AB109" s="22" t="str">
        <f t="shared" ca="1" si="43"/>
        <v/>
      </c>
      <c r="AC109" s="22" t="str">
        <f t="shared" ca="1" si="43"/>
        <v/>
      </c>
      <c r="AD109" s="22" t="str">
        <f t="shared" ca="1" si="42"/>
        <v/>
      </c>
      <c r="AE109" s="22" t="str">
        <f t="shared" ca="1" si="42"/>
        <v/>
      </c>
      <c r="AF109" s="22" t="str">
        <f t="shared" ca="1" si="42"/>
        <v/>
      </c>
      <c r="AG109" s="22" t="str">
        <f t="shared" ca="1" si="42"/>
        <v/>
      </c>
      <c r="AH109" s="23" t="str">
        <f t="shared" ca="1" si="42"/>
        <v/>
      </c>
      <c r="AJ109" s="12" t="e">
        <f t="shared" si="28"/>
        <v>#N/A</v>
      </c>
      <c r="AK109" s="51" t="e">
        <f t="shared" si="29"/>
        <v>#N/A</v>
      </c>
      <c r="AL109" s="16" t="e">
        <f t="shared" si="30"/>
        <v>#N/A</v>
      </c>
      <c r="AM109" s="16" t="e">
        <f t="shared" si="31"/>
        <v>#N/A</v>
      </c>
      <c r="AN109" s="10" t="e">
        <f t="shared" ca="1" si="32"/>
        <v>#N/A</v>
      </c>
      <c r="AO109" s="10" t="e">
        <f t="shared" ca="1" si="33"/>
        <v>#N/A</v>
      </c>
      <c r="AP109" s="10" t="e">
        <f t="shared" si="34"/>
        <v>#N/A</v>
      </c>
      <c r="AQ109" s="10" t="e">
        <f t="shared" si="35"/>
        <v>#N/A</v>
      </c>
      <c r="AR109" s="10" t="e">
        <f t="shared" si="35"/>
        <v>#N/A</v>
      </c>
      <c r="BC109" s="29"/>
    </row>
    <row r="110" spans="2:55" x14ac:dyDescent="0.25">
      <c r="B110" s="41"/>
      <c r="C110" s="58"/>
      <c r="D110" s="63"/>
      <c r="E110" s="39"/>
      <c r="F110" s="60"/>
      <c r="G110" s="42" t="str">
        <f t="shared" si="41"/>
        <v/>
      </c>
      <c r="H110" s="45">
        <f t="shared" ca="1" si="36"/>
        <v>51</v>
      </c>
      <c r="I110" s="36">
        <f t="shared" ca="1" si="37"/>
        <v>0</v>
      </c>
      <c r="J110" s="36">
        <f t="shared" ca="1" si="38"/>
        <v>0</v>
      </c>
      <c r="L110" s="1">
        <f t="shared" ca="1" si="39"/>
        <v>0</v>
      </c>
      <c r="N110" s="21" t="str">
        <f t="shared" ca="1" si="44"/>
        <v/>
      </c>
      <c r="O110" s="22" t="str">
        <f t="shared" ca="1" si="44"/>
        <v/>
      </c>
      <c r="P110" s="22" t="str">
        <f t="shared" ca="1" si="44"/>
        <v/>
      </c>
      <c r="Q110" s="22" t="str">
        <f t="shared" ca="1" si="44"/>
        <v/>
      </c>
      <c r="R110" s="22" t="str">
        <f t="shared" ca="1" si="44"/>
        <v/>
      </c>
      <c r="S110" s="22" t="str">
        <f t="shared" ca="1" si="44"/>
        <v/>
      </c>
      <c r="T110" s="22" t="str">
        <f t="shared" ca="1" si="44"/>
        <v/>
      </c>
      <c r="U110" s="22" t="str">
        <f t="shared" ca="1" si="44"/>
        <v/>
      </c>
      <c r="V110" s="22" t="str">
        <f t="shared" ca="1" si="44"/>
        <v/>
      </c>
      <c r="W110" s="23" t="str">
        <f t="shared" ca="1" si="44"/>
        <v/>
      </c>
      <c r="Y110" s="21" t="str">
        <f t="shared" ca="1" si="43"/>
        <v/>
      </c>
      <c r="Z110" s="22" t="str">
        <f t="shared" ca="1" si="43"/>
        <v/>
      </c>
      <c r="AA110" s="22" t="str">
        <f t="shared" ca="1" si="43"/>
        <v/>
      </c>
      <c r="AB110" s="22" t="str">
        <f t="shared" ca="1" si="43"/>
        <v/>
      </c>
      <c r="AC110" s="22" t="str">
        <f t="shared" ca="1" si="43"/>
        <v/>
      </c>
      <c r="AD110" s="22" t="str">
        <f t="shared" ca="1" si="42"/>
        <v/>
      </c>
      <c r="AE110" s="22" t="str">
        <f t="shared" ca="1" si="42"/>
        <v/>
      </c>
      <c r="AF110" s="22" t="str">
        <f t="shared" ca="1" si="42"/>
        <v/>
      </c>
      <c r="AG110" s="22" t="str">
        <f t="shared" ca="1" si="42"/>
        <v/>
      </c>
      <c r="AH110" s="23" t="str">
        <f t="shared" ca="1" si="42"/>
        <v/>
      </c>
      <c r="AJ110" s="12" t="e">
        <f t="shared" si="28"/>
        <v>#N/A</v>
      </c>
      <c r="AK110" s="51" t="e">
        <f t="shared" si="29"/>
        <v>#N/A</v>
      </c>
      <c r="AL110" s="16" t="e">
        <f t="shared" si="30"/>
        <v>#N/A</v>
      </c>
      <c r="AM110" s="16" t="e">
        <f t="shared" si="31"/>
        <v>#N/A</v>
      </c>
      <c r="AN110" s="10" t="e">
        <f t="shared" ca="1" si="32"/>
        <v>#N/A</v>
      </c>
      <c r="AO110" s="10" t="e">
        <f t="shared" ca="1" si="33"/>
        <v>#N/A</v>
      </c>
      <c r="AP110" s="10" t="e">
        <f t="shared" si="34"/>
        <v>#N/A</v>
      </c>
      <c r="AQ110" s="10" t="e">
        <f t="shared" si="35"/>
        <v>#N/A</v>
      </c>
      <c r="AR110" s="10" t="e">
        <f t="shared" si="35"/>
        <v>#N/A</v>
      </c>
      <c r="BC110" s="29"/>
    </row>
    <row r="111" spans="2:55" x14ac:dyDescent="0.25">
      <c r="B111" s="41"/>
      <c r="C111" s="58"/>
      <c r="D111" s="63"/>
      <c r="E111" s="39"/>
      <c r="F111" s="60"/>
      <c r="G111" s="42" t="str">
        <f t="shared" si="41"/>
        <v/>
      </c>
      <c r="H111" s="45">
        <f t="shared" ca="1" si="36"/>
        <v>51</v>
      </c>
      <c r="I111" s="36">
        <f t="shared" ca="1" si="37"/>
        <v>0</v>
      </c>
      <c r="J111" s="36">
        <f t="shared" ca="1" si="38"/>
        <v>0</v>
      </c>
      <c r="L111" s="1">
        <f t="shared" ca="1" si="39"/>
        <v>0</v>
      </c>
      <c r="N111" s="21" t="str">
        <f t="shared" ca="1" si="44"/>
        <v/>
      </c>
      <c r="O111" s="22" t="str">
        <f t="shared" ca="1" si="44"/>
        <v/>
      </c>
      <c r="P111" s="22" t="str">
        <f t="shared" ca="1" si="44"/>
        <v/>
      </c>
      <c r="Q111" s="22" t="str">
        <f t="shared" ca="1" si="44"/>
        <v/>
      </c>
      <c r="R111" s="22" t="str">
        <f t="shared" ca="1" si="44"/>
        <v/>
      </c>
      <c r="S111" s="22" t="str">
        <f t="shared" ca="1" si="44"/>
        <v/>
      </c>
      <c r="T111" s="22" t="str">
        <f t="shared" ca="1" si="44"/>
        <v/>
      </c>
      <c r="U111" s="22" t="str">
        <f t="shared" ca="1" si="44"/>
        <v/>
      </c>
      <c r="V111" s="22" t="str">
        <f t="shared" ca="1" si="44"/>
        <v/>
      </c>
      <c r="W111" s="23" t="str">
        <f t="shared" ca="1" si="44"/>
        <v/>
      </c>
      <c r="Y111" s="21" t="str">
        <f t="shared" ca="1" si="43"/>
        <v/>
      </c>
      <c r="Z111" s="22" t="str">
        <f t="shared" ca="1" si="43"/>
        <v/>
      </c>
      <c r="AA111" s="22" t="str">
        <f t="shared" ca="1" si="43"/>
        <v/>
      </c>
      <c r="AB111" s="22" t="str">
        <f t="shared" ca="1" si="43"/>
        <v/>
      </c>
      <c r="AC111" s="22" t="str">
        <f t="shared" ca="1" si="43"/>
        <v/>
      </c>
      <c r="AD111" s="22" t="str">
        <f t="shared" ca="1" si="42"/>
        <v/>
      </c>
      <c r="AE111" s="22" t="str">
        <f t="shared" ca="1" si="42"/>
        <v/>
      </c>
      <c r="AF111" s="22" t="str">
        <f t="shared" ca="1" si="42"/>
        <v/>
      </c>
      <c r="AG111" s="22" t="str">
        <f t="shared" ca="1" si="42"/>
        <v/>
      </c>
      <c r="AH111" s="23" t="str">
        <f t="shared" ca="1" si="42"/>
        <v/>
      </c>
      <c r="AJ111" s="12" t="e">
        <f t="shared" si="28"/>
        <v>#N/A</v>
      </c>
      <c r="AK111" s="51" t="e">
        <f t="shared" si="29"/>
        <v>#N/A</v>
      </c>
      <c r="AL111" s="16" t="e">
        <f t="shared" si="30"/>
        <v>#N/A</v>
      </c>
      <c r="AM111" s="16" t="e">
        <f t="shared" si="31"/>
        <v>#N/A</v>
      </c>
      <c r="AN111" s="10" t="e">
        <f t="shared" ca="1" si="32"/>
        <v>#N/A</v>
      </c>
      <c r="AO111" s="10" t="e">
        <f t="shared" ca="1" si="33"/>
        <v>#N/A</v>
      </c>
      <c r="AP111" s="10" t="e">
        <f t="shared" si="34"/>
        <v>#N/A</v>
      </c>
      <c r="AQ111" s="10" t="e">
        <f t="shared" si="35"/>
        <v>#N/A</v>
      </c>
      <c r="AR111" s="10" t="e">
        <f t="shared" si="35"/>
        <v>#N/A</v>
      </c>
      <c r="BC111" s="29"/>
    </row>
    <row r="112" spans="2:55" x14ac:dyDescent="0.25">
      <c r="B112" s="41"/>
      <c r="C112" s="58"/>
      <c r="D112" s="63"/>
      <c r="E112" s="39"/>
      <c r="F112" s="60"/>
      <c r="G112" s="42" t="str">
        <f t="shared" si="41"/>
        <v/>
      </c>
      <c r="H112" s="45">
        <f t="shared" ca="1" si="36"/>
        <v>51</v>
      </c>
      <c r="I112" s="36">
        <f t="shared" ca="1" si="37"/>
        <v>0</v>
      </c>
      <c r="J112" s="36">
        <f t="shared" ca="1" si="38"/>
        <v>0</v>
      </c>
      <c r="L112" s="1">
        <f t="shared" ca="1" si="39"/>
        <v>0</v>
      </c>
      <c r="N112" s="21" t="str">
        <f t="shared" ca="1" si="44"/>
        <v/>
      </c>
      <c r="O112" s="22" t="str">
        <f t="shared" ca="1" si="44"/>
        <v/>
      </c>
      <c r="P112" s="22" t="str">
        <f t="shared" ca="1" si="44"/>
        <v/>
      </c>
      <c r="Q112" s="22" t="str">
        <f t="shared" ca="1" si="44"/>
        <v/>
      </c>
      <c r="R112" s="22" t="str">
        <f t="shared" ca="1" si="44"/>
        <v/>
      </c>
      <c r="S112" s="22" t="str">
        <f t="shared" ca="1" si="44"/>
        <v/>
      </c>
      <c r="T112" s="22" t="str">
        <f t="shared" ca="1" si="44"/>
        <v/>
      </c>
      <c r="U112" s="22" t="str">
        <f t="shared" ca="1" si="44"/>
        <v/>
      </c>
      <c r="V112" s="22" t="str">
        <f t="shared" ca="1" si="44"/>
        <v/>
      </c>
      <c r="W112" s="23" t="str">
        <f t="shared" ca="1" si="44"/>
        <v/>
      </c>
      <c r="Y112" s="21" t="str">
        <f t="shared" ca="1" si="43"/>
        <v/>
      </c>
      <c r="Z112" s="22" t="str">
        <f t="shared" ca="1" si="43"/>
        <v/>
      </c>
      <c r="AA112" s="22" t="str">
        <f t="shared" ca="1" si="43"/>
        <v/>
      </c>
      <c r="AB112" s="22" t="str">
        <f t="shared" ca="1" si="43"/>
        <v/>
      </c>
      <c r="AC112" s="22" t="str">
        <f t="shared" ca="1" si="43"/>
        <v/>
      </c>
      <c r="AD112" s="22" t="str">
        <f t="shared" ca="1" si="42"/>
        <v/>
      </c>
      <c r="AE112" s="22" t="str">
        <f t="shared" ca="1" si="42"/>
        <v/>
      </c>
      <c r="AF112" s="22" t="str">
        <f t="shared" ca="1" si="42"/>
        <v/>
      </c>
      <c r="AG112" s="22" t="str">
        <f t="shared" ca="1" si="42"/>
        <v/>
      </c>
      <c r="AH112" s="23" t="str">
        <f t="shared" ca="1" si="42"/>
        <v/>
      </c>
      <c r="AJ112" s="12" t="e">
        <f t="shared" si="28"/>
        <v>#N/A</v>
      </c>
      <c r="AK112" s="51" t="e">
        <f t="shared" si="29"/>
        <v>#N/A</v>
      </c>
      <c r="AL112" s="16" t="e">
        <f t="shared" si="30"/>
        <v>#N/A</v>
      </c>
      <c r="AM112" s="16" t="e">
        <f t="shared" si="31"/>
        <v>#N/A</v>
      </c>
      <c r="AN112" s="10" t="e">
        <f t="shared" ca="1" si="32"/>
        <v>#N/A</v>
      </c>
      <c r="AO112" s="10" t="e">
        <f t="shared" ca="1" si="33"/>
        <v>#N/A</v>
      </c>
      <c r="AP112" s="10" t="e">
        <f t="shared" si="34"/>
        <v>#N/A</v>
      </c>
      <c r="AQ112" s="10" t="e">
        <f t="shared" si="35"/>
        <v>#N/A</v>
      </c>
      <c r="AR112" s="10" t="e">
        <f t="shared" si="35"/>
        <v>#N/A</v>
      </c>
      <c r="BC112" s="29"/>
    </row>
    <row r="113" spans="2:55" x14ac:dyDescent="0.25">
      <c r="B113" s="41"/>
      <c r="C113" s="58"/>
      <c r="D113" s="63"/>
      <c r="E113" s="39"/>
      <c r="F113" s="60"/>
      <c r="G113" s="42" t="str">
        <f t="shared" si="41"/>
        <v/>
      </c>
      <c r="H113" s="45">
        <f t="shared" ca="1" si="36"/>
        <v>51</v>
      </c>
      <c r="I113" s="36">
        <f t="shared" ca="1" si="37"/>
        <v>0</v>
      </c>
      <c r="J113" s="36">
        <f t="shared" ca="1" si="38"/>
        <v>0</v>
      </c>
      <c r="L113" s="1">
        <f t="shared" ca="1" si="39"/>
        <v>0</v>
      </c>
      <c r="N113" s="21" t="str">
        <f t="shared" ca="1" si="44"/>
        <v/>
      </c>
      <c r="O113" s="22" t="str">
        <f t="shared" ca="1" si="44"/>
        <v/>
      </c>
      <c r="P113" s="22" t="str">
        <f t="shared" ca="1" si="44"/>
        <v/>
      </c>
      <c r="Q113" s="22" t="str">
        <f t="shared" ca="1" si="44"/>
        <v/>
      </c>
      <c r="R113" s="22" t="str">
        <f t="shared" ca="1" si="44"/>
        <v/>
      </c>
      <c r="S113" s="22" t="str">
        <f t="shared" ca="1" si="44"/>
        <v/>
      </c>
      <c r="T113" s="22" t="str">
        <f t="shared" ca="1" si="44"/>
        <v/>
      </c>
      <c r="U113" s="22" t="str">
        <f t="shared" ca="1" si="44"/>
        <v/>
      </c>
      <c r="V113" s="22" t="str">
        <f t="shared" ca="1" si="44"/>
        <v/>
      </c>
      <c r="W113" s="23" t="str">
        <f t="shared" ca="1" si="44"/>
        <v/>
      </c>
      <c r="Y113" s="21" t="str">
        <f t="shared" ca="1" si="43"/>
        <v/>
      </c>
      <c r="Z113" s="22" t="str">
        <f t="shared" ca="1" si="43"/>
        <v/>
      </c>
      <c r="AA113" s="22" t="str">
        <f t="shared" ca="1" si="43"/>
        <v/>
      </c>
      <c r="AB113" s="22" t="str">
        <f t="shared" ca="1" si="43"/>
        <v/>
      </c>
      <c r="AC113" s="22" t="str">
        <f t="shared" ca="1" si="43"/>
        <v/>
      </c>
      <c r="AD113" s="22" t="str">
        <f t="shared" ca="1" si="42"/>
        <v/>
      </c>
      <c r="AE113" s="22" t="str">
        <f t="shared" ca="1" si="42"/>
        <v/>
      </c>
      <c r="AF113" s="22" t="str">
        <f t="shared" ca="1" si="42"/>
        <v/>
      </c>
      <c r="AG113" s="22" t="str">
        <f t="shared" ca="1" si="42"/>
        <v/>
      </c>
      <c r="AH113" s="23" t="str">
        <f t="shared" ca="1" si="42"/>
        <v/>
      </c>
      <c r="AJ113" s="12" t="e">
        <f t="shared" si="28"/>
        <v>#N/A</v>
      </c>
      <c r="AK113" s="51" t="e">
        <f t="shared" si="29"/>
        <v>#N/A</v>
      </c>
      <c r="AL113" s="16" t="e">
        <f t="shared" si="30"/>
        <v>#N/A</v>
      </c>
      <c r="AM113" s="16" t="e">
        <f t="shared" si="31"/>
        <v>#N/A</v>
      </c>
      <c r="AN113" s="10" t="e">
        <f t="shared" ca="1" si="32"/>
        <v>#N/A</v>
      </c>
      <c r="AO113" s="10" t="e">
        <f t="shared" ca="1" si="33"/>
        <v>#N/A</v>
      </c>
      <c r="AP113" s="10" t="e">
        <f t="shared" si="34"/>
        <v>#N/A</v>
      </c>
      <c r="AQ113" s="10" t="e">
        <f t="shared" si="35"/>
        <v>#N/A</v>
      </c>
      <c r="AR113" s="10" t="e">
        <f t="shared" si="35"/>
        <v>#N/A</v>
      </c>
      <c r="BC113" s="29"/>
    </row>
    <row r="114" spans="2:55" x14ac:dyDescent="0.25">
      <c r="B114" s="41"/>
      <c r="C114" s="58"/>
      <c r="D114" s="63"/>
      <c r="E114" s="39"/>
      <c r="F114" s="60"/>
      <c r="G114" s="42" t="str">
        <f t="shared" si="41"/>
        <v/>
      </c>
      <c r="H114" s="45">
        <f t="shared" ca="1" si="36"/>
        <v>51</v>
      </c>
      <c r="I114" s="36">
        <f t="shared" ca="1" si="37"/>
        <v>0</v>
      </c>
      <c r="J114" s="36">
        <f t="shared" ca="1" si="38"/>
        <v>0</v>
      </c>
      <c r="L114" s="1">
        <f t="shared" ca="1" si="39"/>
        <v>0</v>
      </c>
      <c r="N114" s="21" t="str">
        <f t="shared" ca="1" si="44"/>
        <v/>
      </c>
      <c r="O114" s="22" t="str">
        <f t="shared" ca="1" si="44"/>
        <v/>
      </c>
      <c r="P114" s="22" t="str">
        <f t="shared" ca="1" si="44"/>
        <v/>
      </c>
      <c r="Q114" s="22" t="str">
        <f t="shared" ca="1" si="44"/>
        <v/>
      </c>
      <c r="R114" s="22" t="str">
        <f t="shared" ca="1" si="44"/>
        <v/>
      </c>
      <c r="S114" s="22" t="str">
        <f t="shared" ca="1" si="44"/>
        <v/>
      </c>
      <c r="T114" s="22" t="str">
        <f t="shared" ca="1" si="44"/>
        <v/>
      </c>
      <c r="U114" s="22" t="str">
        <f t="shared" ca="1" si="44"/>
        <v/>
      </c>
      <c r="V114" s="22" t="str">
        <f t="shared" ca="1" si="44"/>
        <v/>
      </c>
      <c r="W114" s="23" t="str">
        <f t="shared" ca="1" si="44"/>
        <v/>
      </c>
      <c r="Y114" s="21" t="str">
        <f t="shared" ca="1" si="43"/>
        <v/>
      </c>
      <c r="Z114" s="22" t="str">
        <f t="shared" ca="1" si="43"/>
        <v/>
      </c>
      <c r="AA114" s="22" t="str">
        <f t="shared" ca="1" si="43"/>
        <v/>
      </c>
      <c r="AB114" s="22" t="str">
        <f t="shared" ca="1" si="43"/>
        <v/>
      </c>
      <c r="AC114" s="22" t="str">
        <f t="shared" ca="1" si="43"/>
        <v/>
      </c>
      <c r="AD114" s="22" t="str">
        <f t="shared" ca="1" si="42"/>
        <v/>
      </c>
      <c r="AE114" s="22" t="str">
        <f t="shared" ca="1" si="42"/>
        <v/>
      </c>
      <c r="AF114" s="22" t="str">
        <f t="shared" ca="1" si="42"/>
        <v/>
      </c>
      <c r="AG114" s="22" t="str">
        <f t="shared" ca="1" si="42"/>
        <v/>
      </c>
      <c r="AH114" s="23" t="str">
        <f t="shared" ca="1" si="42"/>
        <v/>
      </c>
      <c r="AJ114" s="12" t="e">
        <f t="shared" si="28"/>
        <v>#N/A</v>
      </c>
      <c r="AK114" s="51" t="e">
        <f t="shared" si="29"/>
        <v>#N/A</v>
      </c>
      <c r="AL114" s="16" t="e">
        <f t="shared" si="30"/>
        <v>#N/A</v>
      </c>
      <c r="AM114" s="16" t="e">
        <f t="shared" si="31"/>
        <v>#N/A</v>
      </c>
      <c r="AN114" s="10" t="e">
        <f t="shared" ca="1" si="32"/>
        <v>#N/A</v>
      </c>
      <c r="AO114" s="10" t="e">
        <f t="shared" ca="1" si="33"/>
        <v>#N/A</v>
      </c>
      <c r="AP114" s="10" t="e">
        <f t="shared" si="34"/>
        <v>#N/A</v>
      </c>
      <c r="AQ114" s="10" t="e">
        <f t="shared" si="35"/>
        <v>#N/A</v>
      </c>
      <c r="AR114" s="10" t="e">
        <f t="shared" si="35"/>
        <v>#N/A</v>
      </c>
      <c r="BC114" s="29"/>
    </row>
    <row r="115" spans="2:55" x14ac:dyDescent="0.25">
      <c r="B115" s="41"/>
      <c r="C115" s="40"/>
      <c r="D115" s="63"/>
      <c r="E115" s="39"/>
      <c r="F115" s="60"/>
      <c r="G115" s="42" t="str">
        <f t="shared" si="41"/>
        <v/>
      </c>
      <c r="H115" s="45">
        <f t="shared" ca="1" si="36"/>
        <v>51</v>
      </c>
      <c r="I115" s="36">
        <f t="shared" ca="1" si="37"/>
        <v>0</v>
      </c>
      <c r="J115" s="36">
        <f t="shared" ca="1" si="38"/>
        <v>0</v>
      </c>
      <c r="L115" s="1">
        <f t="shared" ca="1" si="39"/>
        <v>0</v>
      </c>
      <c r="N115" s="21" t="str">
        <f t="shared" ca="1" si="44"/>
        <v/>
      </c>
      <c r="O115" s="22" t="str">
        <f t="shared" ca="1" si="44"/>
        <v/>
      </c>
      <c r="P115" s="22" t="str">
        <f t="shared" ca="1" si="44"/>
        <v/>
      </c>
      <c r="Q115" s="22" t="str">
        <f t="shared" ca="1" si="44"/>
        <v/>
      </c>
      <c r="R115" s="22" t="str">
        <f t="shared" ca="1" si="44"/>
        <v/>
      </c>
      <c r="S115" s="22" t="str">
        <f t="shared" ca="1" si="44"/>
        <v/>
      </c>
      <c r="T115" s="22" t="str">
        <f t="shared" ca="1" si="44"/>
        <v/>
      </c>
      <c r="U115" s="22" t="str">
        <f t="shared" ca="1" si="44"/>
        <v/>
      </c>
      <c r="V115" s="22" t="str">
        <f t="shared" ca="1" si="44"/>
        <v/>
      </c>
      <c r="W115" s="23" t="str">
        <f t="shared" ca="1" si="44"/>
        <v/>
      </c>
      <c r="Y115" s="21" t="str">
        <f t="shared" ca="1" si="43"/>
        <v/>
      </c>
      <c r="Z115" s="22" t="str">
        <f t="shared" ca="1" si="43"/>
        <v/>
      </c>
      <c r="AA115" s="22" t="str">
        <f t="shared" ca="1" si="43"/>
        <v/>
      </c>
      <c r="AB115" s="22" t="str">
        <f t="shared" ca="1" si="43"/>
        <v/>
      </c>
      <c r="AC115" s="22" t="str">
        <f t="shared" ca="1" si="43"/>
        <v/>
      </c>
      <c r="AD115" s="22" t="str">
        <f t="shared" ca="1" si="42"/>
        <v/>
      </c>
      <c r="AE115" s="22" t="str">
        <f t="shared" ca="1" si="42"/>
        <v/>
      </c>
      <c r="AF115" s="22" t="str">
        <f t="shared" ca="1" si="42"/>
        <v/>
      </c>
      <c r="AG115" s="22" t="str">
        <f t="shared" ca="1" si="42"/>
        <v/>
      </c>
      <c r="AH115" s="23" t="str">
        <f t="shared" ca="1" si="42"/>
        <v/>
      </c>
      <c r="AJ115" s="12" t="e">
        <f t="shared" si="28"/>
        <v>#N/A</v>
      </c>
      <c r="AK115" s="51" t="e">
        <f t="shared" si="29"/>
        <v>#N/A</v>
      </c>
      <c r="AL115" s="16" t="e">
        <f t="shared" si="30"/>
        <v>#N/A</v>
      </c>
      <c r="AM115" s="16" t="e">
        <f t="shared" si="31"/>
        <v>#N/A</v>
      </c>
      <c r="AN115" s="10" t="e">
        <f t="shared" ca="1" si="32"/>
        <v>#N/A</v>
      </c>
      <c r="AO115" s="10" t="e">
        <f t="shared" ca="1" si="33"/>
        <v>#N/A</v>
      </c>
      <c r="AP115" s="10" t="e">
        <f t="shared" si="34"/>
        <v>#N/A</v>
      </c>
      <c r="AQ115" s="10" t="e">
        <f t="shared" si="35"/>
        <v>#N/A</v>
      </c>
      <c r="AR115" s="10" t="e">
        <f t="shared" si="35"/>
        <v>#N/A</v>
      </c>
      <c r="BC115" s="29"/>
    </row>
    <row r="116" spans="2:55" x14ac:dyDescent="0.25">
      <c r="B116" s="41"/>
      <c r="C116" s="40"/>
      <c r="D116" s="63"/>
      <c r="E116" s="39"/>
      <c r="F116" s="60"/>
      <c r="G116" s="42" t="str">
        <f t="shared" si="41"/>
        <v/>
      </c>
      <c r="H116" s="45">
        <f t="shared" ca="1" si="36"/>
        <v>51</v>
      </c>
      <c r="I116" s="36">
        <f t="shared" ca="1" si="37"/>
        <v>0</v>
      </c>
      <c r="J116" s="36">
        <f t="shared" ca="1" si="38"/>
        <v>0</v>
      </c>
      <c r="L116" s="1">
        <f t="shared" ca="1" si="39"/>
        <v>0</v>
      </c>
      <c r="N116" s="21" t="str">
        <f t="shared" ca="1" si="44"/>
        <v/>
      </c>
      <c r="O116" s="22" t="str">
        <f t="shared" ca="1" si="44"/>
        <v/>
      </c>
      <c r="P116" s="22" t="str">
        <f t="shared" ca="1" si="44"/>
        <v/>
      </c>
      <c r="Q116" s="22" t="str">
        <f t="shared" ca="1" si="44"/>
        <v/>
      </c>
      <c r="R116" s="22" t="str">
        <f t="shared" ca="1" si="44"/>
        <v/>
      </c>
      <c r="S116" s="22" t="str">
        <f t="shared" ca="1" si="44"/>
        <v/>
      </c>
      <c r="T116" s="22" t="str">
        <f t="shared" ca="1" si="44"/>
        <v/>
      </c>
      <c r="U116" s="22" t="str">
        <f t="shared" ca="1" si="44"/>
        <v/>
      </c>
      <c r="V116" s="22" t="str">
        <f t="shared" ca="1" si="44"/>
        <v/>
      </c>
      <c r="W116" s="23" t="str">
        <f t="shared" ca="1" si="44"/>
        <v/>
      </c>
      <c r="Y116" s="21" t="str">
        <f t="shared" ca="1" si="43"/>
        <v/>
      </c>
      <c r="Z116" s="22" t="str">
        <f t="shared" ca="1" si="43"/>
        <v/>
      </c>
      <c r="AA116" s="22" t="str">
        <f t="shared" ca="1" si="43"/>
        <v/>
      </c>
      <c r="AB116" s="22" t="str">
        <f t="shared" ca="1" si="43"/>
        <v/>
      </c>
      <c r="AC116" s="22" t="str">
        <f t="shared" ca="1" si="43"/>
        <v/>
      </c>
      <c r="AD116" s="22" t="str">
        <f t="shared" ca="1" si="43"/>
        <v/>
      </c>
      <c r="AE116" s="22" t="str">
        <f t="shared" ca="1" si="43"/>
        <v/>
      </c>
      <c r="AF116" s="22" t="str">
        <f t="shared" ca="1" si="43"/>
        <v/>
      </c>
      <c r="AG116" s="22" t="str">
        <f t="shared" ca="1" si="43"/>
        <v/>
      </c>
      <c r="AH116" s="23" t="str">
        <f t="shared" ca="1" si="43"/>
        <v/>
      </c>
      <c r="AJ116" s="12" t="e">
        <f t="shared" si="28"/>
        <v>#N/A</v>
      </c>
      <c r="AK116" s="51" t="e">
        <f t="shared" si="29"/>
        <v>#N/A</v>
      </c>
      <c r="AL116" s="16" t="e">
        <f t="shared" si="30"/>
        <v>#N/A</v>
      </c>
      <c r="AM116" s="16" t="e">
        <f t="shared" si="31"/>
        <v>#N/A</v>
      </c>
      <c r="AN116" s="10" t="e">
        <f t="shared" ca="1" si="32"/>
        <v>#N/A</v>
      </c>
      <c r="AO116" s="10" t="e">
        <f t="shared" ca="1" si="33"/>
        <v>#N/A</v>
      </c>
      <c r="AP116" s="10" t="e">
        <f t="shared" si="34"/>
        <v>#N/A</v>
      </c>
      <c r="AQ116" s="10" t="e">
        <f t="shared" si="35"/>
        <v>#N/A</v>
      </c>
      <c r="AR116" s="10" t="e">
        <f t="shared" si="35"/>
        <v>#N/A</v>
      </c>
      <c r="BC116" s="29"/>
    </row>
    <row r="117" spans="2:55" x14ac:dyDescent="0.25">
      <c r="B117" s="41"/>
      <c r="C117" s="40"/>
      <c r="D117" s="63"/>
      <c r="E117" s="39"/>
      <c r="F117" s="60"/>
      <c r="G117" s="42" t="str">
        <f t="shared" si="41"/>
        <v/>
      </c>
      <c r="H117" s="45">
        <f t="shared" ca="1" si="36"/>
        <v>51</v>
      </c>
      <c r="I117" s="36">
        <f t="shared" ca="1" si="37"/>
        <v>0</v>
      </c>
      <c r="J117" s="36">
        <f t="shared" ca="1" si="38"/>
        <v>0</v>
      </c>
      <c r="L117" s="1">
        <f t="shared" ca="1" si="39"/>
        <v>0</v>
      </c>
      <c r="N117" s="21" t="str">
        <f t="shared" ca="1" si="44"/>
        <v/>
      </c>
      <c r="O117" s="22" t="str">
        <f t="shared" ca="1" si="44"/>
        <v/>
      </c>
      <c r="P117" s="22" t="str">
        <f t="shared" ca="1" si="44"/>
        <v/>
      </c>
      <c r="Q117" s="22" t="str">
        <f t="shared" ca="1" si="44"/>
        <v/>
      </c>
      <c r="R117" s="22" t="str">
        <f t="shared" ca="1" si="44"/>
        <v/>
      </c>
      <c r="S117" s="22" t="str">
        <f t="shared" ca="1" si="44"/>
        <v/>
      </c>
      <c r="T117" s="22" t="str">
        <f t="shared" ca="1" si="44"/>
        <v/>
      </c>
      <c r="U117" s="22" t="str">
        <f t="shared" ca="1" si="44"/>
        <v/>
      </c>
      <c r="V117" s="22" t="str">
        <f t="shared" ca="1" si="44"/>
        <v/>
      </c>
      <c r="W117" s="23" t="str">
        <f t="shared" ca="1" si="44"/>
        <v/>
      </c>
      <c r="Y117" s="21" t="str">
        <f t="shared" ref="Y117:AH142" ca="1" si="45">IFERROR(ABS(N117-N116),"")</f>
        <v/>
      </c>
      <c r="Z117" s="22" t="str">
        <f t="shared" ca="1" si="45"/>
        <v/>
      </c>
      <c r="AA117" s="22" t="str">
        <f t="shared" ca="1" si="45"/>
        <v/>
      </c>
      <c r="AB117" s="22" t="str">
        <f t="shared" ca="1" si="45"/>
        <v/>
      </c>
      <c r="AC117" s="22" t="str">
        <f t="shared" ca="1" si="45"/>
        <v/>
      </c>
      <c r="AD117" s="22" t="str">
        <f t="shared" ca="1" si="45"/>
        <v/>
      </c>
      <c r="AE117" s="22" t="str">
        <f t="shared" ca="1" si="45"/>
        <v/>
      </c>
      <c r="AF117" s="22" t="str">
        <f t="shared" ca="1" si="45"/>
        <v/>
      </c>
      <c r="AG117" s="22" t="str">
        <f t="shared" ca="1" si="45"/>
        <v/>
      </c>
      <c r="AH117" s="23" t="str">
        <f t="shared" ca="1" si="45"/>
        <v/>
      </c>
      <c r="AJ117" s="12" t="e">
        <f t="shared" si="28"/>
        <v>#N/A</v>
      </c>
      <c r="AK117" s="51" t="e">
        <f t="shared" si="29"/>
        <v>#N/A</v>
      </c>
      <c r="AL117" s="16" t="e">
        <f t="shared" si="30"/>
        <v>#N/A</v>
      </c>
      <c r="AM117" s="16" t="e">
        <f t="shared" si="31"/>
        <v>#N/A</v>
      </c>
      <c r="AN117" s="10" t="e">
        <f t="shared" ca="1" si="32"/>
        <v>#N/A</v>
      </c>
      <c r="AO117" s="10" t="e">
        <f t="shared" ca="1" si="33"/>
        <v>#N/A</v>
      </c>
      <c r="AP117" s="10" t="e">
        <f t="shared" si="34"/>
        <v>#N/A</v>
      </c>
      <c r="AQ117" s="10" t="e">
        <f t="shared" si="35"/>
        <v>#N/A</v>
      </c>
      <c r="AR117" s="10" t="e">
        <f t="shared" si="35"/>
        <v>#N/A</v>
      </c>
      <c r="BC117" s="29"/>
    </row>
    <row r="118" spans="2:55" x14ac:dyDescent="0.25">
      <c r="B118" s="41"/>
      <c r="C118" s="40"/>
      <c r="D118" s="63"/>
      <c r="E118" s="39"/>
      <c r="F118" s="60"/>
      <c r="G118" s="42" t="str">
        <f t="shared" si="41"/>
        <v/>
      </c>
      <c r="H118" s="45">
        <f t="shared" ca="1" si="36"/>
        <v>51</v>
      </c>
      <c r="I118" s="36">
        <f t="shared" ca="1" si="37"/>
        <v>0</v>
      </c>
      <c r="J118" s="36">
        <f t="shared" ca="1" si="38"/>
        <v>0</v>
      </c>
      <c r="L118" s="1">
        <f t="shared" ca="1" si="39"/>
        <v>0</v>
      </c>
      <c r="N118" s="21" t="str">
        <f t="shared" ca="1" si="44"/>
        <v/>
      </c>
      <c r="O118" s="22" t="str">
        <f t="shared" ca="1" si="44"/>
        <v/>
      </c>
      <c r="P118" s="22" t="str">
        <f t="shared" ca="1" si="44"/>
        <v/>
      </c>
      <c r="Q118" s="22" t="str">
        <f t="shared" ca="1" si="44"/>
        <v/>
      </c>
      <c r="R118" s="22" t="str">
        <f t="shared" ca="1" si="44"/>
        <v/>
      </c>
      <c r="S118" s="22" t="str">
        <f t="shared" ca="1" si="44"/>
        <v/>
      </c>
      <c r="T118" s="22" t="str">
        <f t="shared" ca="1" si="44"/>
        <v/>
      </c>
      <c r="U118" s="22" t="str">
        <f t="shared" ca="1" si="44"/>
        <v/>
      </c>
      <c r="V118" s="22" t="str">
        <f t="shared" ca="1" si="44"/>
        <v/>
      </c>
      <c r="W118" s="23" t="str">
        <f t="shared" ca="1" si="44"/>
        <v/>
      </c>
      <c r="Y118" s="21" t="str">
        <f t="shared" ca="1" si="45"/>
        <v/>
      </c>
      <c r="Z118" s="22" t="str">
        <f t="shared" ca="1" si="45"/>
        <v/>
      </c>
      <c r="AA118" s="22" t="str">
        <f t="shared" ca="1" si="45"/>
        <v/>
      </c>
      <c r="AB118" s="22" t="str">
        <f t="shared" ca="1" si="45"/>
        <v/>
      </c>
      <c r="AC118" s="22" t="str">
        <f t="shared" ca="1" si="45"/>
        <v/>
      </c>
      <c r="AD118" s="22" t="str">
        <f t="shared" ca="1" si="45"/>
        <v/>
      </c>
      <c r="AE118" s="22" t="str">
        <f t="shared" ca="1" si="45"/>
        <v/>
      </c>
      <c r="AF118" s="22" t="str">
        <f t="shared" ca="1" si="45"/>
        <v/>
      </c>
      <c r="AG118" s="22" t="str">
        <f t="shared" ca="1" si="45"/>
        <v/>
      </c>
      <c r="AH118" s="23" t="str">
        <f t="shared" ca="1" si="45"/>
        <v/>
      </c>
      <c r="AJ118" s="12" t="e">
        <f t="shared" si="28"/>
        <v>#N/A</v>
      </c>
      <c r="AK118" s="51" t="e">
        <f t="shared" si="29"/>
        <v>#N/A</v>
      </c>
      <c r="AL118" s="16" t="e">
        <f t="shared" si="30"/>
        <v>#N/A</v>
      </c>
      <c r="AM118" s="16" t="e">
        <f t="shared" si="31"/>
        <v>#N/A</v>
      </c>
      <c r="AN118" s="10" t="e">
        <f t="shared" ca="1" si="32"/>
        <v>#N/A</v>
      </c>
      <c r="AO118" s="10" t="e">
        <f t="shared" ca="1" si="33"/>
        <v>#N/A</v>
      </c>
      <c r="AP118" s="10" t="e">
        <f t="shared" si="34"/>
        <v>#N/A</v>
      </c>
      <c r="AQ118" s="10" t="e">
        <f t="shared" si="35"/>
        <v>#N/A</v>
      </c>
      <c r="AR118" s="10" t="e">
        <f t="shared" si="35"/>
        <v>#N/A</v>
      </c>
      <c r="BC118" s="29"/>
    </row>
    <row r="119" spans="2:55" x14ac:dyDescent="0.25">
      <c r="B119" s="41"/>
      <c r="C119" s="40"/>
      <c r="D119" s="63"/>
      <c r="E119" s="39"/>
      <c r="F119" s="60"/>
      <c r="G119" s="42" t="str">
        <f t="shared" si="41"/>
        <v/>
      </c>
      <c r="H119" s="45">
        <f t="shared" ca="1" si="36"/>
        <v>51</v>
      </c>
      <c r="I119" s="36">
        <f t="shared" ca="1" si="37"/>
        <v>0</v>
      </c>
      <c r="J119" s="36">
        <f t="shared" ca="1" si="38"/>
        <v>0</v>
      </c>
      <c r="L119" s="1">
        <f t="shared" ca="1" si="39"/>
        <v>0</v>
      </c>
      <c r="N119" s="21" t="str">
        <f t="shared" ca="1" si="44"/>
        <v/>
      </c>
      <c r="O119" s="22" t="str">
        <f t="shared" ca="1" si="44"/>
        <v/>
      </c>
      <c r="P119" s="22" t="str">
        <f t="shared" ca="1" si="44"/>
        <v/>
      </c>
      <c r="Q119" s="22" t="str">
        <f t="shared" ca="1" si="44"/>
        <v/>
      </c>
      <c r="R119" s="22" t="str">
        <f t="shared" ca="1" si="44"/>
        <v/>
      </c>
      <c r="S119" s="22" t="str">
        <f t="shared" ca="1" si="44"/>
        <v/>
      </c>
      <c r="T119" s="22" t="str">
        <f t="shared" ca="1" si="44"/>
        <v/>
      </c>
      <c r="U119" s="22" t="str">
        <f t="shared" ca="1" si="44"/>
        <v/>
      </c>
      <c r="V119" s="22" t="str">
        <f t="shared" ca="1" si="44"/>
        <v/>
      </c>
      <c r="W119" s="23" t="str">
        <f t="shared" ca="1" si="44"/>
        <v/>
      </c>
      <c r="Y119" s="21" t="str">
        <f t="shared" ca="1" si="45"/>
        <v/>
      </c>
      <c r="Z119" s="22" t="str">
        <f t="shared" ca="1" si="45"/>
        <v/>
      </c>
      <c r="AA119" s="22" t="str">
        <f t="shared" ca="1" si="45"/>
        <v/>
      </c>
      <c r="AB119" s="22" t="str">
        <f t="shared" ca="1" si="45"/>
        <v/>
      </c>
      <c r="AC119" s="22" t="str">
        <f t="shared" ca="1" si="45"/>
        <v/>
      </c>
      <c r="AD119" s="22" t="str">
        <f t="shared" ca="1" si="45"/>
        <v/>
      </c>
      <c r="AE119" s="22" t="str">
        <f t="shared" ca="1" si="45"/>
        <v/>
      </c>
      <c r="AF119" s="22" t="str">
        <f t="shared" ca="1" si="45"/>
        <v/>
      </c>
      <c r="AG119" s="22" t="str">
        <f t="shared" ca="1" si="45"/>
        <v/>
      </c>
      <c r="AH119" s="23" t="str">
        <f t="shared" ca="1" si="45"/>
        <v/>
      </c>
      <c r="AJ119" s="12" t="e">
        <f t="shared" si="28"/>
        <v>#N/A</v>
      </c>
      <c r="AK119" s="51" t="e">
        <f t="shared" si="29"/>
        <v>#N/A</v>
      </c>
      <c r="AL119" s="16" t="e">
        <f t="shared" si="30"/>
        <v>#N/A</v>
      </c>
      <c r="AM119" s="16" t="e">
        <f t="shared" si="31"/>
        <v>#N/A</v>
      </c>
      <c r="AN119" s="10" t="e">
        <f t="shared" ca="1" si="32"/>
        <v>#N/A</v>
      </c>
      <c r="AO119" s="10" t="e">
        <f t="shared" ca="1" si="33"/>
        <v>#N/A</v>
      </c>
      <c r="AP119" s="10" t="e">
        <f t="shared" si="34"/>
        <v>#N/A</v>
      </c>
      <c r="AQ119" s="10" t="e">
        <f t="shared" si="35"/>
        <v>#N/A</v>
      </c>
      <c r="AR119" s="10" t="e">
        <f t="shared" si="35"/>
        <v>#N/A</v>
      </c>
      <c r="BC119" s="29"/>
    </row>
    <row r="120" spans="2:55" x14ac:dyDescent="0.25">
      <c r="B120" s="41"/>
      <c r="C120" s="40"/>
      <c r="D120" s="63"/>
      <c r="E120" s="39"/>
      <c r="F120" s="60"/>
      <c r="G120" s="42" t="str">
        <f t="shared" si="41"/>
        <v/>
      </c>
      <c r="H120" s="45">
        <f t="shared" ca="1" si="36"/>
        <v>51</v>
      </c>
      <c r="I120" s="36">
        <f t="shared" ca="1" si="37"/>
        <v>0</v>
      </c>
      <c r="J120" s="36">
        <f t="shared" ca="1" si="38"/>
        <v>0</v>
      </c>
      <c r="L120" s="1">
        <f t="shared" ca="1" si="39"/>
        <v>0</v>
      </c>
      <c r="N120" s="21" t="str">
        <f t="shared" ca="1" si="44"/>
        <v/>
      </c>
      <c r="O120" s="22" t="str">
        <f t="shared" ca="1" si="44"/>
        <v/>
      </c>
      <c r="P120" s="22" t="str">
        <f t="shared" ca="1" si="44"/>
        <v/>
      </c>
      <c r="Q120" s="22" t="str">
        <f t="shared" ca="1" si="44"/>
        <v/>
      </c>
      <c r="R120" s="22" t="str">
        <f t="shared" ca="1" si="44"/>
        <v/>
      </c>
      <c r="S120" s="22" t="str">
        <f t="shared" ca="1" si="44"/>
        <v/>
      </c>
      <c r="T120" s="22" t="str">
        <f t="shared" ca="1" si="44"/>
        <v/>
      </c>
      <c r="U120" s="22" t="str">
        <f t="shared" ca="1" si="44"/>
        <v/>
      </c>
      <c r="V120" s="22" t="str">
        <f t="shared" ca="1" si="44"/>
        <v/>
      </c>
      <c r="W120" s="23" t="str">
        <f t="shared" ca="1" si="44"/>
        <v/>
      </c>
      <c r="Y120" s="21" t="str">
        <f t="shared" ca="1" si="45"/>
        <v/>
      </c>
      <c r="Z120" s="22" t="str">
        <f t="shared" ca="1" si="45"/>
        <v/>
      </c>
      <c r="AA120" s="22" t="str">
        <f t="shared" ca="1" si="45"/>
        <v/>
      </c>
      <c r="AB120" s="22" t="str">
        <f t="shared" ca="1" si="45"/>
        <v/>
      </c>
      <c r="AC120" s="22" t="str">
        <f t="shared" ca="1" si="45"/>
        <v/>
      </c>
      <c r="AD120" s="22" t="str">
        <f t="shared" ca="1" si="45"/>
        <v/>
      </c>
      <c r="AE120" s="22" t="str">
        <f t="shared" ca="1" si="45"/>
        <v/>
      </c>
      <c r="AF120" s="22" t="str">
        <f t="shared" ca="1" si="45"/>
        <v/>
      </c>
      <c r="AG120" s="22" t="str">
        <f t="shared" ca="1" si="45"/>
        <v/>
      </c>
      <c r="AH120" s="23" t="str">
        <f t="shared" ca="1" si="45"/>
        <v/>
      </c>
      <c r="AJ120" s="12" t="e">
        <f t="shared" si="28"/>
        <v>#N/A</v>
      </c>
      <c r="AK120" s="51" t="e">
        <f t="shared" si="29"/>
        <v>#N/A</v>
      </c>
      <c r="AL120" s="16" t="e">
        <f t="shared" si="30"/>
        <v>#N/A</v>
      </c>
      <c r="AM120" s="16" t="e">
        <f t="shared" si="31"/>
        <v>#N/A</v>
      </c>
      <c r="AN120" s="10" t="e">
        <f t="shared" ca="1" si="32"/>
        <v>#N/A</v>
      </c>
      <c r="AO120" s="10" t="e">
        <f t="shared" ca="1" si="33"/>
        <v>#N/A</v>
      </c>
      <c r="AP120" s="10" t="e">
        <f t="shared" si="34"/>
        <v>#N/A</v>
      </c>
      <c r="AQ120" s="10" t="e">
        <f t="shared" si="35"/>
        <v>#N/A</v>
      </c>
      <c r="AR120" s="10" t="e">
        <f t="shared" si="35"/>
        <v>#N/A</v>
      </c>
      <c r="BC120" s="29"/>
    </row>
    <row r="121" spans="2:55" x14ac:dyDescent="0.25">
      <c r="B121" s="41"/>
      <c r="C121" s="40"/>
      <c r="D121" s="63"/>
      <c r="E121" s="39"/>
      <c r="F121" s="60"/>
      <c r="G121" s="42" t="str">
        <f t="shared" si="41"/>
        <v/>
      </c>
      <c r="H121" s="45">
        <f t="shared" ca="1" si="36"/>
        <v>51</v>
      </c>
      <c r="I121" s="36">
        <f t="shared" ca="1" si="37"/>
        <v>0</v>
      </c>
      <c r="J121" s="36">
        <f t="shared" ca="1" si="38"/>
        <v>0</v>
      </c>
      <c r="L121" s="1">
        <f t="shared" ca="1" si="39"/>
        <v>0</v>
      </c>
      <c r="N121" s="21" t="str">
        <f t="shared" ca="1" si="44"/>
        <v/>
      </c>
      <c r="O121" s="22" t="str">
        <f t="shared" ca="1" si="44"/>
        <v/>
      </c>
      <c r="P121" s="22" t="str">
        <f t="shared" ca="1" si="44"/>
        <v/>
      </c>
      <c r="Q121" s="22" t="str">
        <f t="shared" ca="1" si="44"/>
        <v/>
      </c>
      <c r="R121" s="22" t="str">
        <f t="shared" ca="1" si="44"/>
        <v/>
      </c>
      <c r="S121" s="22" t="str">
        <f t="shared" ca="1" si="44"/>
        <v/>
      </c>
      <c r="T121" s="22" t="str">
        <f t="shared" ca="1" si="44"/>
        <v/>
      </c>
      <c r="U121" s="22" t="str">
        <f t="shared" ca="1" si="44"/>
        <v/>
      </c>
      <c r="V121" s="22" t="str">
        <f t="shared" ca="1" si="44"/>
        <v/>
      </c>
      <c r="W121" s="23" t="str">
        <f t="shared" ca="1" si="44"/>
        <v/>
      </c>
      <c r="Y121" s="21" t="str">
        <f t="shared" ca="1" si="45"/>
        <v/>
      </c>
      <c r="Z121" s="22" t="str">
        <f t="shared" ca="1" si="45"/>
        <v/>
      </c>
      <c r="AA121" s="22" t="str">
        <f t="shared" ca="1" si="45"/>
        <v/>
      </c>
      <c r="AB121" s="22" t="str">
        <f t="shared" ca="1" si="45"/>
        <v/>
      </c>
      <c r="AC121" s="22" t="str">
        <f t="shared" ca="1" si="45"/>
        <v/>
      </c>
      <c r="AD121" s="22" t="str">
        <f t="shared" ca="1" si="45"/>
        <v/>
      </c>
      <c r="AE121" s="22" t="str">
        <f t="shared" ca="1" si="45"/>
        <v/>
      </c>
      <c r="AF121" s="22" t="str">
        <f t="shared" ca="1" si="45"/>
        <v/>
      </c>
      <c r="AG121" s="22" t="str">
        <f t="shared" ca="1" si="45"/>
        <v/>
      </c>
      <c r="AH121" s="23" t="str">
        <f t="shared" ca="1" si="45"/>
        <v/>
      </c>
      <c r="AJ121" s="12" t="e">
        <f t="shared" si="28"/>
        <v>#N/A</v>
      </c>
      <c r="AK121" s="51" t="e">
        <f t="shared" si="29"/>
        <v>#N/A</v>
      </c>
      <c r="AL121" s="16" t="e">
        <f t="shared" si="30"/>
        <v>#N/A</v>
      </c>
      <c r="AM121" s="16" t="e">
        <f t="shared" si="31"/>
        <v>#N/A</v>
      </c>
      <c r="AN121" s="10" t="e">
        <f t="shared" ca="1" si="32"/>
        <v>#N/A</v>
      </c>
      <c r="AO121" s="10" t="e">
        <f t="shared" ca="1" si="33"/>
        <v>#N/A</v>
      </c>
      <c r="AP121" s="10" t="e">
        <f t="shared" si="34"/>
        <v>#N/A</v>
      </c>
      <c r="AQ121" s="10" t="e">
        <f t="shared" si="35"/>
        <v>#N/A</v>
      </c>
      <c r="AR121" s="10" t="e">
        <f t="shared" si="35"/>
        <v>#N/A</v>
      </c>
      <c r="BC121" s="29"/>
    </row>
    <row r="122" spans="2:55" x14ac:dyDescent="0.25">
      <c r="B122" s="41"/>
      <c r="C122" s="40"/>
      <c r="D122" s="63"/>
      <c r="E122" s="39"/>
      <c r="F122" s="60"/>
      <c r="G122" s="42" t="str">
        <f t="shared" si="41"/>
        <v/>
      </c>
      <c r="H122" s="45">
        <f t="shared" ca="1" si="36"/>
        <v>51</v>
      </c>
      <c r="I122" s="36">
        <f t="shared" ca="1" si="37"/>
        <v>0</v>
      </c>
      <c r="J122" s="36">
        <f t="shared" ca="1" si="38"/>
        <v>0</v>
      </c>
      <c r="L122" s="1">
        <f t="shared" ca="1" si="39"/>
        <v>0</v>
      </c>
      <c r="N122" s="21" t="str">
        <f t="shared" ca="1" si="44"/>
        <v/>
      </c>
      <c r="O122" s="22" t="str">
        <f t="shared" ca="1" si="44"/>
        <v/>
      </c>
      <c r="P122" s="22" t="str">
        <f t="shared" ca="1" si="44"/>
        <v/>
      </c>
      <c r="Q122" s="22" t="str">
        <f t="shared" ca="1" si="44"/>
        <v/>
      </c>
      <c r="R122" s="22" t="str">
        <f t="shared" ca="1" si="44"/>
        <v/>
      </c>
      <c r="S122" s="22" t="str">
        <f t="shared" ca="1" si="44"/>
        <v/>
      </c>
      <c r="T122" s="22" t="str">
        <f t="shared" ca="1" si="44"/>
        <v/>
      </c>
      <c r="U122" s="22" t="str">
        <f t="shared" ca="1" si="44"/>
        <v/>
      </c>
      <c r="V122" s="22" t="str">
        <f t="shared" ca="1" si="44"/>
        <v/>
      </c>
      <c r="W122" s="23" t="str">
        <f t="shared" ca="1" si="44"/>
        <v/>
      </c>
      <c r="Y122" s="21" t="str">
        <f t="shared" ca="1" si="45"/>
        <v/>
      </c>
      <c r="Z122" s="22" t="str">
        <f t="shared" ca="1" si="45"/>
        <v/>
      </c>
      <c r="AA122" s="22" t="str">
        <f t="shared" ca="1" si="45"/>
        <v/>
      </c>
      <c r="AB122" s="22" t="str">
        <f t="shared" ca="1" si="45"/>
        <v/>
      </c>
      <c r="AC122" s="22" t="str">
        <f t="shared" ca="1" si="45"/>
        <v/>
      </c>
      <c r="AD122" s="22" t="str">
        <f t="shared" ca="1" si="45"/>
        <v/>
      </c>
      <c r="AE122" s="22" t="str">
        <f t="shared" ca="1" si="45"/>
        <v/>
      </c>
      <c r="AF122" s="22" t="str">
        <f t="shared" ca="1" si="45"/>
        <v/>
      </c>
      <c r="AG122" s="22" t="str">
        <f t="shared" ca="1" si="45"/>
        <v/>
      </c>
      <c r="AH122" s="23" t="str">
        <f t="shared" ca="1" si="45"/>
        <v/>
      </c>
      <c r="AJ122" s="12" t="e">
        <f t="shared" si="28"/>
        <v>#N/A</v>
      </c>
      <c r="AK122" s="51" t="e">
        <f t="shared" si="29"/>
        <v>#N/A</v>
      </c>
      <c r="AL122" s="16" t="e">
        <f t="shared" si="30"/>
        <v>#N/A</v>
      </c>
      <c r="AM122" s="16" t="e">
        <f t="shared" si="31"/>
        <v>#N/A</v>
      </c>
      <c r="AN122" s="10" t="e">
        <f t="shared" ca="1" si="32"/>
        <v>#N/A</v>
      </c>
      <c r="AO122" s="10" t="e">
        <f t="shared" ca="1" si="33"/>
        <v>#N/A</v>
      </c>
      <c r="AP122" s="10" t="e">
        <f t="shared" si="34"/>
        <v>#N/A</v>
      </c>
      <c r="AQ122" s="10" t="e">
        <f t="shared" si="35"/>
        <v>#N/A</v>
      </c>
      <c r="AR122" s="10" t="e">
        <f t="shared" si="35"/>
        <v>#N/A</v>
      </c>
      <c r="BC122" s="29"/>
    </row>
    <row r="123" spans="2:55" x14ac:dyDescent="0.25">
      <c r="B123" s="41"/>
      <c r="C123" s="40"/>
      <c r="D123" s="63"/>
      <c r="E123" s="39"/>
      <c r="F123" s="60"/>
      <c r="G123" s="42" t="str">
        <f t="shared" si="41"/>
        <v/>
      </c>
      <c r="H123" s="45">
        <f t="shared" ca="1" si="36"/>
        <v>51</v>
      </c>
      <c r="I123" s="36">
        <f t="shared" ca="1" si="37"/>
        <v>0</v>
      </c>
      <c r="J123" s="36">
        <f t="shared" ca="1" si="38"/>
        <v>0</v>
      </c>
      <c r="L123" s="1">
        <f t="shared" ca="1" si="39"/>
        <v>0</v>
      </c>
      <c r="N123" s="21" t="str">
        <f t="shared" ref="N123:W138" ca="1" si="46">IF(ISNUMBER($C123),IF($G123&lt;=$C$9,IF($L123=N$25,$C123,""),IF(COUNT(INDIRECT(ADDRESS(ROW(N$26),COLUMN())&amp;":"&amp;ADDRESS(ROW()-1,COLUMN())))&gt;$C$13,"",IF($L123=N$25,$C123,""))),"")</f>
        <v/>
      </c>
      <c r="O123" s="22" t="str">
        <f t="shared" ca="1" si="46"/>
        <v/>
      </c>
      <c r="P123" s="22" t="str">
        <f t="shared" ca="1" si="46"/>
        <v/>
      </c>
      <c r="Q123" s="22" t="str">
        <f t="shared" ca="1" si="46"/>
        <v/>
      </c>
      <c r="R123" s="22" t="str">
        <f t="shared" ca="1" si="46"/>
        <v/>
      </c>
      <c r="S123" s="22" t="str">
        <f t="shared" ca="1" si="46"/>
        <v/>
      </c>
      <c r="T123" s="22" t="str">
        <f t="shared" ca="1" si="46"/>
        <v/>
      </c>
      <c r="U123" s="22" t="str">
        <f t="shared" ca="1" si="46"/>
        <v/>
      </c>
      <c r="V123" s="22" t="str">
        <f t="shared" ca="1" si="46"/>
        <v/>
      </c>
      <c r="W123" s="23" t="str">
        <f t="shared" ca="1" si="46"/>
        <v/>
      </c>
      <c r="Y123" s="21" t="str">
        <f t="shared" ca="1" si="45"/>
        <v/>
      </c>
      <c r="Z123" s="22" t="str">
        <f t="shared" ca="1" si="45"/>
        <v/>
      </c>
      <c r="AA123" s="22" t="str">
        <f t="shared" ca="1" si="45"/>
        <v/>
      </c>
      <c r="AB123" s="22" t="str">
        <f t="shared" ca="1" si="45"/>
        <v/>
      </c>
      <c r="AC123" s="22" t="str">
        <f t="shared" ca="1" si="45"/>
        <v/>
      </c>
      <c r="AD123" s="22" t="str">
        <f t="shared" ca="1" si="45"/>
        <v/>
      </c>
      <c r="AE123" s="22" t="str">
        <f t="shared" ca="1" si="45"/>
        <v/>
      </c>
      <c r="AF123" s="22" t="str">
        <f t="shared" ca="1" si="45"/>
        <v/>
      </c>
      <c r="AG123" s="22" t="str">
        <f t="shared" ca="1" si="45"/>
        <v/>
      </c>
      <c r="AH123" s="23" t="str">
        <f t="shared" ca="1" si="45"/>
        <v/>
      </c>
      <c r="AJ123" s="12" t="e">
        <f t="shared" si="28"/>
        <v>#N/A</v>
      </c>
      <c r="AK123" s="51" t="e">
        <f t="shared" si="29"/>
        <v>#N/A</v>
      </c>
      <c r="AL123" s="16" t="e">
        <f t="shared" si="30"/>
        <v>#N/A</v>
      </c>
      <c r="AM123" s="16" t="e">
        <f t="shared" si="31"/>
        <v>#N/A</v>
      </c>
      <c r="AN123" s="10" t="e">
        <f t="shared" ca="1" si="32"/>
        <v>#N/A</v>
      </c>
      <c r="AO123" s="10" t="e">
        <f t="shared" ca="1" si="33"/>
        <v>#N/A</v>
      </c>
      <c r="AP123" s="10" t="e">
        <f t="shared" si="34"/>
        <v>#N/A</v>
      </c>
      <c r="AQ123" s="10" t="e">
        <f t="shared" si="35"/>
        <v>#N/A</v>
      </c>
      <c r="AR123" s="10" t="e">
        <f t="shared" si="35"/>
        <v>#N/A</v>
      </c>
      <c r="BC123" s="29"/>
    </row>
    <row r="124" spans="2:55" x14ac:dyDescent="0.25">
      <c r="B124" s="41"/>
      <c r="C124" s="40"/>
      <c r="D124" s="63"/>
      <c r="E124" s="39"/>
      <c r="F124" s="60"/>
      <c r="G124" s="42" t="str">
        <f t="shared" si="41"/>
        <v/>
      </c>
      <c r="H124" s="45">
        <f t="shared" ca="1" si="36"/>
        <v>51</v>
      </c>
      <c r="I124" s="36">
        <f t="shared" ca="1" si="37"/>
        <v>0</v>
      </c>
      <c r="J124" s="36">
        <f t="shared" ca="1" si="38"/>
        <v>0</v>
      </c>
      <c r="L124" s="1">
        <f t="shared" ca="1" si="39"/>
        <v>0</v>
      </c>
      <c r="N124" s="21" t="str">
        <f t="shared" ca="1" si="46"/>
        <v/>
      </c>
      <c r="O124" s="22" t="str">
        <f t="shared" ca="1" si="46"/>
        <v/>
      </c>
      <c r="P124" s="22" t="str">
        <f t="shared" ca="1" si="46"/>
        <v/>
      </c>
      <c r="Q124" s="22" t="str">
        <f t="shared" ca="1" si="46"/>
        <v/>
      </c>
      <c r="R124" s="22" t="str">
        <f t="shared" ca="1" si="46"/>
        <v/>
      </c>
      <c r="S124" s="22" t="str">
        <f t="shared" ca="1" si="46"/>
        <v/>
      </c>
      <c r="T124" s="22" t="str">
        <f t="shared" ca="1" si="46"/>
        <v/>
      </c>
      <c r="U124" s="22" t="str">
        <f t="shared" ca="1" si="46"/>
        <v/>
      </c>
      <c r="V124" s="22" t="str">
        <f t="shared" ca="1" si="46"/>
        <v/>
      </c>
      <c r="W124" s="23" t="str">
        <f t="shared" ca="1" si="46"/>
        <v/>
      </c>
      <c r="Y124" s="21" t="str">
        <f t="shared" ca="1" si="45"/>
        <v/>
      </c>
      <c r="Z124" s="22" t="str">
        <f t="shared" ca="1" si="45"/>
        <v/>
      </c>
      <c r="AA124" s="22" t="str">
        <f t="shared" ca="1" si="45"/>
        <v/>
      </c>
      <c r="AB124" s="22" t="str">
        <f t="shared" ca="1" si="45"/>
        <v/>
      </c>
      <c r="AC124" s="22" t="str">
        <f t="shared" ca="1" si="45"/>
        <v/>
      </c>
      <c r="AD124" s="22" t="str">
        <f t="shared" ca="1" si="45"/>
        <v/>
      </c>
      <c r="AE124" s="22" t="str">
        <f t="shared" ca="1" si="45"/>
        <v/>
      </c>
      <c r="AF124" s="22" t="str">
        <f t="shared" ca="1" si="45"/>
        <v/>
      </c>
      <c r="AG124" s="22" t="str">
        <f t="shared" ca="1" si="45"/>
        <v/>
      </c>
      <c r="AH124" s="23" t="str">
        <f t="shared" ca="1" si="45"/>
        <v/>
      </c>
      <c r="AJ124" s="12" t="e">
        <f t="shared" si="28"/>
        <v>#N/A</v>
      </c>
      <c r="AK124" s="51" t="e">
        <f t="shared" si="29"/>
        <v>#N/A</v>
      </c>
      <c r="AL124" s="16" t="e">
        <f t="shared" si="30"/>
        <v>#N/A</v>
      </c>
      <c r="AM124" s="16" t="e">
        <f t="shared" si="31"/>
        <v>#N/A</v>
      </c>
      <c r="AN124" s="10" t="e">
        <f t="shared" ca="1" si="32"/>
        <v>#N/A</v>
      </c>
      <c r="AO124" s="10" t="e">
        <f t="shared" ca="1" si="33"/>
        <v>#N/A</v>
      </c>
      <c r="AP124" s="10" t="e">
        <f t="shared" si="34"/>
        <v>#N/A</v>
      </c>
      <c r="AQ124" s="10" t="e">
        <f t="shared" si="35"/>
        <v>#N/A</v>
      </c>
      <c r="AR124" s="10" t="e">
        <f t="shared" si="35"/>
        <v>#N/A</v>
      </c>
      <c r="BC124" s="29"/>
    </row>
    <row r="125" spans="2:55" x14ac:dyDescent="0.25">
      <c r="B125" s="41"/>
      <c r="C125" s="40"/>
      <c r="D125" s="63"/>
      <c r="E125" s="39"/>
      <c r="F125" s="60"/>
      <c r="G125" s="42" t="str">
        <f t="shared" si="41"/>
        <v/>
      </c>
      <c r="H125" s="45">
        <f t="shared" ca="1" si="36"/>
        <v>51</v>
      </c>
      <c r="I125" s="36">
        <f t="shared" ca="1" si="37"/>
        <v>0</v>
      </c>
      <c r="J125" s="36">
        <f t="shared" ca="1" si="38"/>
        <v>0</v>
      </c>
      <c r="L125" s="1">
        <f t="shared" ca="1" si="39"/>
        <v>0</v>
      </c>
      <c r="N125" s="21" t="str">
        <f t="shared" ca="1" si="46"/>
        <v/>
      </c>
      <c r="O125" s="22" t="str">
        <f t="shared" ca="1" si="46"/>
        <v/>
      </c>
      <c r="P125" s="22" t="str">
        <f t="shared" ca="1" si="46"/>
        <v/>
      </c>
      <c r="Q125" s="22" t="str">
        <f t="shared" ca="1" si="46"/>
        <v/>
      </c>
      <c r="R125" s="22" t="str">
        <f t="shared" ca="1" si="46"/>
        <v/>
      </c>
      <c r="S125" s="22" t="str">
        <f t="shared" ca="1" si="46"/>
        <v/>
      </c>
      <c r="T125" s="22" t="str">
        <f t="shared" ca="1" si="46"/>
        <v/>
      </c>
      <c r="U125" s="22" t="str">
        <f t="shared" ca="1" si="46"/>
        <v/>
      </c>
      <c r="V125" s="22" t="str">
        <f t="shared" ca="1" si="46"/>
        <v/>
      </c>
      <c r="W125" s="23" t="str">
        <f t="shared" ca="1" si="46"/>
        <v/>
      </c>
      <c r="Y125" s="21" t="str">
        <f t="shared" ca="1" si="45"/>
        <v/>
      </c>
      <c r="Z125" s="22" t="str">
        <f t="shared" ca="1" si="45"/>
        <v/>
      </c>
      <c r="AA125" s="22" t="str">
        <f t="shared" ca="1" si="45"/>
        <v/>
      </c>
      <c r="AB125" s="22" t="str">
        <f t="shared" ca="1" si="45"/>
        <v/>
      </c>
      <c r="AC125" s="22" t="str">
        <f t="shared" ca="1" si="45"/>
        <v/>
      </c>
      <c r="AD125" s="22" t="str">
        <f t="shared" ca="1" si="45"/>
        <v/>
      </c>
      <c r="AE125" s="22" t="str">
        <f t="shared" ca="1" si="45"/>
        <v/>
      </c>
      <c r="AF125" s="22" t="str">
        <f t="shared" ca="1" si="45"/>
        <v/>
      </c>
      <c r="AG125" s="22" t="str">
        <f t="shared" ca="1" si="45"/>
        <v/>
      </c>
      <c r="AH125" s="23" t="str">
        <f t="shared" ca="1" si="45"/>
        <v/>
      </c>
      <c r="AJ125" s="12" t="e">
        <f t="shared" si="28"/>
        <v>#N/A</v>
      </c>
      <c r="AK125" s="51" t="e">
        <f t="shared" si="29"/>
        <v>#N/A</v>
      </c>
      <c r="AL125" s="16" t="e">
        <f t="shared" si="30"/>
        <v>#N/A</v>
      </c>
      <c r="AM125" s="16" t="e">
        <f t="shared" si="31"/>
        <v>#N/A</v>
      </c>
      <c r="AN125" s="10" t="e">
        <f t="shared" ca="1" si="32"/>
        <v>#N/A</v>
      </c>
      <c r="AO125" s="10" t="e">
        <f t="shared" ca="1" si="33"/>
        <v>#N/A</v>
      </c>
      <c r="AP125" s="10" t="e">
        <f t="shared" si="34"/>
        <v>#N/A</v>
      </c>
      <c r="AQ125" s="10" t="e">
        <f t="shared" si="35"/>
        <v>#N/A</v>
      </c>
      <c r="AR125" s="10" t="e">
        <f t="shared" si="35"/>
        <v>#N/A</v>
      </c>
      <c r="BC125" s="29"/>
    </row>
    <row r="126" spans="2:55" x14ac:dyDescent="0.25">
      <c r="B126" s="41"/>
      <c r="C126" s="40"/>
      <c r="D126" s="63"/>
      <c r="E126" s="39"/>
      <c r="F126" s="60"/>
      <c r="G126" s="42" t="str">
        <f t="shared" si="41"/>
        <v/>
      </c>
      <c r="H126" s="45">
        <f t="shared" ca="1" si="36"/>
        <v>51</v>
      </c>
      <c r="I126" s="36">
        <f t="shared" ca="1" si="37"/>
        <v>0</v>
      </c>
      <c r="J126" s="36">
        <f t="shared" ca="1" si="38"/>
        <v>0</v>
      </c>
      <c r="L126" s="1">
        <f t="shared" ca="1" si="39"/>
        <v>0</v>
      </c>
      <c r="N126" s="21" t="str">
        <f t="shared" ca="1" si="46"/>
        <v/>
      </c>
      <c r="O126" s="22" t="str">
        <f t="shared" ca="1" si="46"/>
        <v/>
      </c>
      <c r="P126" s="22" t="str">
        <f t="shared" ca="1" si="46"/>
        <v/>
      </c>
      <c r="Q126" s="22" t="str">
        <f t="shared" ca="1" si="46"/>
        <v/>
      </c>
      <c r="R126" s="22" t="str">
        <f t="shared" ca="1" si="46"/>
        <v/>
      </c>
      <c r="S126" s="22" t="str">
        <f t="shared" ca="1" si="46"/>
        <v/>
      </c>
      <c r="T126" s="22" t="str">
        <f t="shared" ca="1" si="46"/>
        <v/>
      </c>
      <c r="U126" s="22" t="str">
        <f t="shared" ca="1" si="46"/>
        <v/>
      </c>
      <c r="V126" s="22" t="str">
        <f t="shared" ca="1" si="46"/>
        <v/>
      </c>
      <c r="W126" s="23" t="str">
        <f t="shared" ca="1" si="46"/>
        <v/>
      </c>
      <c r="Y126" s="21" t="str">
        <f t="shared" ca="1" si="45"/>
        <v/>
      </c>
      <c r="Z126" s="22" t="str">
        <f t="shared" ca="1" si="45"/>
        <v/>
      </c>
      <c r="AA126" s="22" t="str">
        <f t="shared" ca="1" si="45"/>
        <v/>
      </c>
      <c r="AB126" s="22" t="str">
        <f t="shared" ca="1" si="45"/>
        <v/>
      </c>
      <c r="AC126" s="22" t="str">
        <f t="shared" ca="1" si="45"/>
        <v/>
      </c>
      <c r="AD126" s="22" t="str">
        <f t="shared" ca="1" si="45"/>
        <v/>
      </c>
      <c r="AE126" s="22" t="str">
        <f t="shared" ca="1" si="45"/>
        <v/>
      </c>
      <c r="AF126" s="22" t="str">
        <f t="shared" ca="1" si="45"/>
        <v/>
      </c>
      <c r="AG126" s="22" t="str">
        <f t="shared" ca="1" si="45"/>
        <v/>
      </c>
      <c r="AH126" s="23" t="str">
        <f t="shared" ca="1" si="45"/>
        <v/>
      </c>
      <c r="AJ126" s="12" t="e">
        <f t="shared" si="28"/>
        <v>#N/A</v>
      </c>
      <c r="AK126" s="51" t="e">
        <f t="shared" si="29"/>
        <v>#N/A</v>
      </c>
      <c r="AL126" s="16" t="e">
        <f t="shared" si="30"/>
        <v>#N/A</v>
      </c>
      <c r="AM126" s="16" t="e">
        <f t="shared" si="31"/>
        <v>#N/A</v>
      </c>
      <c r="AN126" s="10" t="e">
        <f t="shared" ca="1" si="32"/>
        <v>#N/A</v>
      </c>
      <c r="AO126" s="10" t="e">
        <f t="shared" ca="1" si="33"/>
        <v>#N/A</v>
      </c>
      <c r="AP126" s="10" t="e">
        <f t="shared" si="34"/>
        <v>#N/A</v>
      </c>
      <c r="AQ126" s="10" t="e">
        <f t="shared" si="35"/>
        <v>#N/A</v>
      </c>
      <c r="AR126" s="10" t="e">
        <f t="shared" si="35"/>
        <v>#N/A</v>
      </c>
      <c r="BC126" s="29"/>
    </row>
    <row r="127" spans="2:55" x14ac:dyDescent="0.25">
      <c r="B127" s="41"/>
      <c r="C127" s="40"/>
      <c r="D127" s="63"/>
      <c r="E127" s="39"/>
      <c r="F127" s="60"/>
      <c r="G127" s="42" t="str">
        <f t="shared" si="41"/>
        <v/>
      </c>
      <c r="H127" s="45">
        <f t="shared" ca="1" si="36"/>
        <v>51</v>
      </c>
      <c r="I127" s="36">
        <f t="shared" ca="1" si="37"/>
        <v>0</v>
      </c>
      <c r="J127" s="36">
        <f t="shared" ca="1" si="38"/>
        <v>0</v>
      </c>
      <c r="L127" s="1">
        <f t="shared" ca="1" si="39"/>
        <v>0</v>
      </c>
      <c r="N127" s="21" t="str">
        <f t="shared" ca="1" si="46"/>
        <v/>
      </c>
      <c r="O127" s="22" t="str">
        <f t="shared" ca="1" si="46"/>
        <v/>
      </c>
      <c r="P127" s="22" t="str">
        <f t="shared" ca="1" si="46"/>
        <v/>
      </c>
      <c r="Q127" s="22" t="str">
        <f t="shared" ca="1" si="46"/>
        <v/>
      </c>
      <c r="R127" s="22" t="str">
        <f t="shared" ca="1" si="46"/>
        <v/>
      </c>
      <c r="S127" s="22" t="str">
        <f t="shared" ca="1" si="46"/>
        <v/>
      </c>
      <c r="T127" s="22" t="str">
        <f t="shared" ca="1" si="46"/>
        <v/>
      </c>
      <c r="U127" s="22" t="str">
        <f t="shared" ca="1" si="46"/>
        <v/>
      </c>
      <c r="V127" s="22" t="str">
        <f t="shared" ca="1" si="46"/>
        <v/>
      </c>
      <c r="W127" s="23" t="str">
        <f t="shared" ca="1" si="46"/>
        <v/>
      </c>
      <c r="Y127" s="21" t="str">
        <f t="shared" ca="1" si="45"/>
        <v/>
      </c>
      <c r="Z127" s="22" t="str">
        <f t="shared" ca="1" si="45"/>
        <v/>
      </c>
      <c r="AA127" s="22" t="str">
        <f t="shared" ca="1" si="45"/>
        <v/>
      </c>
      <c r="AB127" s="22" t="str">
        <f t="shared" ca="1" si="45"/>
        <v/>
      </c>
      <c r="AC127" s="22" t="str">
        <f t="shared" ca="1" si="45"/>
        <v/>
      </c>
      <c r="AD127" s="22" t="str">
        <f t="shared" ca="1" si="45"/>
        <v/>
      </c>
      <c r="AE127" s="22" t="str">
        <f t="shared" ca="1" si="45"/>
        <v/>
      </c>
      <c r="AF127" s="22" t="str">
        <f t="shared" ca="1" si="45"/>
        <v/>
      </c>
      <c r="AG127" s="22" t="str">
        <f t="shared" ca="1" si="45"/>
        <v/>
      </c>
      <c r="AH127" s="23" t="str">
        <f t="shared" ca="1" si="45"/>
        <v/>
      </c>
      <c r="AJ127" s="12" t="e">
        <f t="shared" si="28"/>
        <v>#N/A</v>
      </c>
      <c r="AK127" s="51" t="e">
        <f t="shared" si="29"/>
        <v>#N/A</v>
      </c>
      <c r="AL127" s="16" t="e">
        <f t="shared" si="30"/>
        <v>#N/A</v>
      </c>
      <c r="AM127" s="16" t="e">
        <f t="shared" si="31"/>
        <v>#N/A</v>
      </c>
      <c r="AN127" s="10" t="e">
        <f t="shared" ca="1" si="32"/>
        <v>#N/A</v>
      </c>
      <c r="AO127" s="10" t="e">
        <f t="shared" ca="1" si="33"/>
        <v>#N/A</v>
      </c>
      <c r="AP127" s="10" t="e">
        <f t="shared" si="34"/>
        <v>#N/A</v>
      </c>
      <c r="AQ127" s="10" t="e">
        <f t="shared" si="35"/>
        <v>#N/A</v>
      </c>
      <c r="AR127" s="10" t="e">
        <f t="shared" si="35"/>
        <v>#N/A</v>
      </c>
      <c r="BC127" s="29"/>
    </row>
    <row r="128" spans="2:55" x14ac:dyDescent="0.25">
      <c r="B128" s="41"/>
      <c r="C128" s="40"/>
      <c r="D128" s="63"/>
      <c r="E128" s="39"/>
      <c r="F128" s="60"/>
      <c r="G128" s="42" t="str">
        <f t="shared" si="41"/>
        <v/>
      </c>
      <c r="H128" s="45">
        <f t="shared" ca="1" si="36"/>
        <v>51</v>
      </c>
      <c r="I128" s="36">
        <f t="shared" ca="1" si="37"/>
        <v>0</v>
      </c>
      <c r="J128" s="36">
        <f t="shared" ca="1" si="38"/>
        <v>0</v>
      </c>
      <c r="L128" s="1">
        <f t="shared" ca="1" si="39"/>
        <v>0</v>
      </c>
      <c r="N128" s="21" t="str">
        <f t="shared" ca="1" si="46"/>
        <v/>
      </c>
      <c r="O128" s="22" t="str">
        <f t="shared" ca="1" si="46"/>
        <v/>
      </c>
      <c r="P128" s="22" t="str">
        <f t="shared" ca="1" si="46"/>
        <v/>
      </c>
      <c r="Q128" s="22" t="str">
        <f t="shared" ca="1" si="46"/>
        <v/>
      </c>
      <c r="R128" s="22" t="str">
        <f t="shared" ca="1" si="46"/>
        <v/>
      </c>
      <c r="S128" s="22" t="str">
        <f t="shared" ca="1" si="46"/>
        <v/>
      </c>
      <c r="T128" s="22" t="str">
        <f t="shared" ca="1" si="46"/>
        <v/>
      </c>
      <c r="U128" s="22" t="str">
        <f t="shared" ca="1" si="46"/>
        <v/>
      </c>
      <c r="V128" s="22" t="str">
        <f t="shared" ca="1" si="46"/>
        <v/>
      </c>
      <c r="W128" s="23" t="str">
        <f t="shared" ca="1" si="46"/>
        <v/>
      </c>
      <c r="Y128" s="21" t="str">
        <f t="shared" ca="1" si="45"/>
        <v/>
      </c>
      <c r="Z128" s="22" t="str">
        <f t="shared" ca="1" si="45"/>
        <v/>
      </c>
      <c r="AA128" s="22" t="str">
        <f t="shared" ca="1" si="45"/>
        <v/>
      </c>
      <c r="AB128" s="22" t="str">
        <f t="shared" ca="1" si="45"/>
        <v/>
      </c>
      <c r="AC128" s="22" t="str">
        <f t="shared" ca="1" si="45"/>
        <v/>
      </c>
      <c r="AD128" s="22" t="str">
        <f t="shared" ca="1" si="45"/>
        <v/>
      </c>
      <c r="AE128" s="22" t="str">
        <f t="shared" ca="1" si="45"/>
        <v/>
      </c>
      <c r="AF128" s="22" t="str">
        <f t="shared" ca="1" si="45"/>
        <v/>
      </c>
      <c r="AG128" s="22" t="str">
        <f t="shared" ca="1" si="45"/>
        <v/>
      </c>
      <c r="AH128" s="23" t="str">
        <f t="shared" ca="1" si="45"/>
        <v/>
      </c>
      <c r="AJ128" s="12" t="e">
        <f t="shared" si="28"/>
        <v>#N/A</v>
      </c>
      <c r="AK128" s="51" t="e">
        <f t="shared" si="29"/>
        <v>#N/A</v>
      </c>
      <c r="AL128" s="16" t="e">
        <f t="shared" si="30"/>
        <v>#N/A</v>
      </c>
      <c r="AM128" s="16" t="e">
        <f t="shared" si="31"/>
        <v>#N/A</v>
      </c>
      <c r="AN128" s="10" t="e">
        <f t="shared" ca="1" si="32"/>
        <v>#N/A</v>
      </c>
      <c r="AO128" s="10" t="e">
        <f t="shared" ca="1" si="33"/>
        <v>#N/A</v>
      </c>
      <c r="AP128" s="10" t="e">
        <f t="shared" si="34"/>
        <v>#N/A</v>
      </c>
      <c r="AQ128" s="10" t="e">
        <f t="shared" si="35"/>
        <v>#N/A</v>
      </c>
      <c r="AR128" s="10" t="e">
        <f t="shared" si="35"/>
        <v>#N/A</v>
      </c>
      <c r="BC128" s="29"/>
    </row>
    <row r="129" spans="2:55" x14ac:dyDescent="0.25">
      <c r="B129" s="41"/>
      <c r="C129" s="40"/>
      <c r="D129" s="63"/>
      <c r="E129" s="39"/>
      <c r="F129" s="60"/>
      <c r="G129" s="42" t="str">
        <f t="shared" si="41"/>
        <v/>
      </c>
      <c r="H129" s="45">
        <f t="shared" ca="1" si="36"/>
        <v>51</v>
      </c>
      <c r="I129" s="36">
        <f t="shared" ca="1" si="37"/>
        <v>0</v>
      </c>
      <c r="J129" s="36">
        <f t="shared" ca="1" si="38"/>
        <v>0</v>
      </c>
      <c r="L129" s="1">
        <f t="shared" ca="1" si="39"/>
        <v>0</v>
      </c>
      <c r="N129" s="21" t="str">
        <f t="shared" ca="1" si="46"/>
        <v/>
      </c>
      <c r="O129" s="22" t="str">
        <f t="shared" ca="1" si="46"/>
        <v/>
      </c>
      <c r="P129" s="22" t="str">
        <f t="shared" ca="1" si="46"/>
        <v/>
      </c>
      <c r="Q129" s="22" t="str">
        <f t="shared" ca="1" si="46"/>
        <v/>
      </c>
      <c r="R129" s="22" t="str">
        <f t="shared" ca="1" si="46"/>
        <v/>
      </c>
      <c r="S129" s="22" t="str">
        <f t="shared" ca="1" si="46"/>
        <v/>
      </c>
      <c r="T129" s="22" t="str">
        <f t="shared" ca="1" si="46"/>
        <v/>
      </c>
      <c r="U129" s="22" t="str">
        <f t="shared" ca="1" si="46"/>
        <v/>
      </c>
      <c r="V129" s="22" t="str">
        <f t="shared" ca="1" si="46"/>
        <v/>
      </c>
      <c r="W129" s="23" t="str">
        <f t="shared" ca="1" si="46"/>
        <v/>
      </c>
      <c r="Y129" s="21" t="str">
        <f t="shared" ca="1" si="45"/>
        <v/>
      </c>
      <c r="Z129" s="22" t="str">
        <f t="shared" ca="1" si="45"/>
        <v/>
      </c>
      <c r="AA129" s="22" t="str">
        <f t="shared" ca="1" si="45"/>
        <v/>
      </c>
      <c r="AB129" s="22" t="str">
        <f t="shared" ca="1" si="45"/>
        <v/>
      </c>
      <c r="AC129" s="22" t="str">
        <f t="shared" ca="1" si="45"/>
        <v/>
      </c>
      <c r="AD129" s="22" t="str">
        <f t="shared" ca="1" si="45"/>
        <v/>
      </c>
      <c r="AE129" s="22" t="str">
        <f t="shared" ca="1" si="45"/>
        <v/>
      </c>
      <c r="AF129" s="22" t="str">
        <f t="shared" ca="1" si="45"/>
        <v/>
      </c>
      <c r="AG129" s="22" t="str">
        <f t="shared" ca="1" si="45"/>
        <v/>
      </c>
      <c r="AH129" s="23" t="str">
        <f t="shared" ca="1" si="45"/>
        <v/>
      </c>
      <c r="AJ129" s="12" t="e">
        <f t="shared" si="28"/>
        <v>#N/A</v>
      </c>
      <c r="AK129" s="51" t="e">
        <f t="shared" si="29"/>
        <v>#N/A</v>
      </c>
      <c r="AL129" s="16" t="e">
        <f t="shared" si="30"/>
        <v>#N/A</v>
      </c>
      <c r="AM129" s="16" t="e">
        <f t="shared" si="31"/>
        <v>#N/A</v>
      </c>
      <c r="AN129" s="10" t="e">
        <f t="shared" ca="1" si="32"/>
        <v>#N/A</v>
      </c>
      <c r="AO129" s="10" t="e">
        <f t="shared" ca="1" si="33"/>
        <v>#N/A</v>
      </c>
      <c r="AP129" s="10" t="e">
        <f t="shared" si="34"/>
        <v>#N/A</v>
      </c>
      <c r="AQ129" s="10" t="e">
        <f t="shared" si="35"/>
        <v>#N/A</v>
      </c>
      <c r="AR129" s="10" t="e">
        <f t="shared" si="35"/>
        <v>#N/A</v>
      </c>
      <c r="BC129" s="29"/>
    </row>
    <row r="130" spans="2:55" x14ac:dyDescent="0.25">
      <c r="B130" s="41"/>
      <c r="C130" s="40"/>
      <c r="D130" s="63"/>
      <c r="E130" s="39"/>
      <c r="F130" s="60"/>
      <c r="G130" s="42" t="str">
        <f t="shared" si="41"/>
        <v/>
      </c>
      <c r="H130" s="45">
        <f t="shared" ca="1" si="36"/>
        <v>51</v>
      </c>
      <c r="I130" s="36">
        <f t="shared" ca="1" si="37"/>
        <v>0</v>
      </c>
      <c r="J130" s="36">
        <f t="shared" ca="1" si="38"/>
        <v>0</v>
      </c>
      <c r="L130" s="1">
        <f t="shared" ca="1" si="39"/>
        <v>0</v>
      </c>
      <c r="N130" s="21" t="str">
        <f t="shared" ca="1" si="46"/>
        <v/>
      </c>
      <c r="O130" s="22" t="str">
        <f t="shared" ca="1" si="46"/>
        <v/>
      </c>
      <c r="P130" s="22" t="str">
        <f t="shared" ca="1" si="46"/>
        <v/>
      </c>
      <c r="Q130" s="22" t="str">
        <f t="shared" ca="1" si="46"/>
        <v/>
      </c>
      <c r="R130" s="22" t="str">
        <f t="shared" ca="1" si="46"/>
        <v/>
      </c>
      <c r="S130" s="22" t="str">
        <f t="shared" ca="1" si="46"/>
        <v/>
      </c>
      <c r="T130" s="22" t="str">
        <f t="shared" ca="1" si="46"/>
        <v/>
      </c>
      <c r="U130" s="22" t="str">
        <f t="shared" ca="1" si="46"/>
        <v/>
      </c>
      <c r="V130" s="22" t="str">
        <f t="shared" ca="1" si="46"/>
        <v/>
      </c>
      <c r="W130" s="23" t="str">
        <f t="shared" ca="1" si="46"/>
        <v/>
      </c>
      <c r="Y130" s="21" t="str">
        <f t="shared" ca="1" si="45"/>
        <v/>
      </c>
      <c r="Z130" s="22" t="str">
        <f t="shared" ca="1" si="45"/>
        <v/>
      </c>
      <c r="AA130" s="22" t="str">
        <f t="shared" ca="1" si="45"/>
        <v/>
      </c>
      <c r="AB130" s="22" t="str">
        <f t="shared" ca="1" si="45"/>
        <v/>
      </c>
      <c r="AC130" s="22" t="str">
        <f t="shared" ca="1" si="45"/>
        <v/>
      </c>
      <c r="AD130" s="22" t="str">
        <f t="shared" ca="1" si="45"/>
        <v/>
      </c>
      <c r="AE130" s="22" t="str">
        <f t="shared" ca="1" si="45"/>
        <v/>
      </c>
      <c r="AF130" s="22" t="str">
        <f t="shared" ca="1" si="45"/>
        <v/>
      </c>
      <c r="AG130" s="22" t="str">
        <f t="shared" ca="1" si="45"/>
        <v/>
      </c>
      <c r="AH130" s="23" t="str">
        <f t="shared" ca="1" si="45"/>
        <v/>
      </c>
      <c r="AJ130" s="12" t="e">
        <f t="shared" si="28"/>
        <v>#N/A</v>
      </c>
      <c r="AK130" s="51" t="e">
        <f t="shared" si="29"/>
        <v>#N/A</v>
      </c>
      <c r="AL130" s="16" t="e">
        <f t="shared" si="30"/>
        <v>#N/A</v>
      </c>
      <c r="AM130" s="16" t="e">
        <f t="shared" si="31"/>
        <v>#N/A</v>
      </c>
      <c r="AN130" s="10" t="e">
        <f t="shared" ca="1" si="32"/>
        <v>#N/A</v>
      </c>
      <c r="AO130" s="10" t="e">
        <f t="shared" ca="1" si="33"/>
        <v>#N/A</v>
      </c>
      <c r="AP130" s="10" t="e">
        <f t="shared" si="34"/>
        <v>#N/A</v>
      </c>
      <c r="AQ130" s="10" t="e">
        <f t="shared" si="35"/>
        <v>#N/A</v>
      </c>
      <c r="AR130" s="10" t="e">
        <f t="shared" si="35"/>
        <v>#N/A</v>
      </c>
      <c r="BC130" s="29"/>
    </row>
    <row r="131" spans="2:55" x14ac:dyDescent="0.25">
      <c r="B131" s="41"/>
      <c r="C131" s="40"/>
      <c r="D131" s="63"/>
      <c r="E131" s="39"/>
      <c r="F131" s="60"/>
      <c r="G131" s="42" t="str">
        <f t="shared" si="41"/>
        <v/>
      </c>
      <c r="H131" s="45">
        <f t="shared" ca="1" si="36"/>
        <v>51</v>
      </c>
      <c r="I131" s="36">
        <f t="shared" ca="1" si="37"/>
        <v>0</v>
      </c>
      <c r="J131" s="36">
        <f t="shared" ca="1" si="38"/>
        <v>0</v>
      </c>
      <c r="L131" s="1">
        <f t="shared" ca="1" si="39"/>
        <v>0</v>
      </c>
      <c r="N131" s="21" t="str">
        <f t="shared" ca="1" si="46"/>
        <v/>
      </c>
      <c r="O131" s="22" t="str">
        <f t="shared" ca="1" si="46"/>
        <v/>
      </c>
      <c r="P131" s="22" t="str">
        <f t="shared" ca="1" si="46"/>
        <v/>
      </c>
      <c r="Q131" s="22" t="str">
        <f t="shared" ca="1" si="46"/>
        <v/>
      </c>
      <c r="R131" s="22" t="str">
        <f t="shared" ca="1" si="46"/>
        <v/>
      </c>
      <c r="S131" s="22" t="str">
        <f t="shared" ca="1" si="46"/>
        <v/>
      </c>
      <c r="T131" s="22" t="str">
        <f t="shared" ca="1" si="46"/>
        <v/>
      </c>
      <c r="U131" s="22" t="str">
        <f t="shared" ca="1" si="46"/>
        <v/>
      </c>
      <c r="V131" s="22" t="str">
        <f t="shared" ca="1" si="46"/>
        <v/>
      </c>
      <c r="W131" s="23" t="str">
        <f t="shared" ca="1" si="46"/>
        <v/>
      </c>
      <c r="Y131" s="21" t="str">
        <f t="shared" ca="1" si="45"/>
        <v/>
      </c>
      <c r="Z131" s="22" t="str">
        <f t="shared" ca="1" si="45"/>
        <v/>
      </c>
      <c r="AA131" s="22" t="str">
        <f t="shared" ca="1" si="45"/>
        <v/>
      </c>
      <c r="AB131" s="22" t="str">
        <f t="shared" ca="1" si="45"/>
        <v/>
      </c>
      <c r="AC131" s="22" t="str">
        <f t="shared" ca="1" si="45"/>
        <v/>
      </c>
      <c r="AD131" s="22" t="str">
        <f t="shared" ca="1" si="45"/>
        <v/>
      </c>
      <c r="AE131" s="22" t="str">
        <f t="shared" ca="1" si="45"/>
        <v/>
      </c>
      <c r="AF131" s="22" t="str">
        <f t="shared" ca="1" si="45"/>
        <v/>
      </c>
      <c r="AG131" s="22" t="str">
        <f t="shared" ca="1" si="45"/>
        <v/>
      </c>
      <c r="AH131" s="23" t="str">
        <f t="shared" ca="1" si="45"/>
        <v/>
      </c>
      <c r="AJ131" s="12" t="e">
        <f t="shared" si="28"/>
        <v>#N/A</v>
      </c>
      <c r="AK131" s="51" t="e">
        <f t="shared" si="29"/>
        <v>#N/A</v>
      </c>
      <c r="AL131" s="16" t="e">
        <f t="shared" si="30"/>
        <v>#N/A</v>
      </c>
      <c r="AM131" s="16" t="e">
        <f t="shared" si="31"/>
        <v>#N/A</v>
      </c>
      <c r="AN131" s="10" t="e">
        <f t="shared" ca="1" si="32"/>
        <v>#N/A</v>
      </c>
      <c r="AO131" s="10" t="e">
        <f t="shared" ca="1" si="33"/>
        <v>#N/A</v>
      </c>
      <c r="AP131" s="10" t="e">
        <f t="shared" si="34"/>
        <v>#N/A</v>
      </c>
      <c r="AQ131" s="10" t="e">
        <f t="shared" si="35"/>
        <v>#N/A</v>
      </c>
      <c r="AR131" s="10" t="e">
        <f t="shared" si="35"/>
        <v>#N/A</v>
      </c>
      <c r="BC131" s="29"/>
    </row>
    <row r="132" spans="2:55" x14ac:dyDescent="0.25">
      <c r="B132" s="41"/>
      <c r="C132" s="40"/>
      <c r="D132" s="63"/>
      <c r="E132" s="39"/>
      <c r="F132" s="60"/>
      <c r="G132" s="42" t="str">
        <f t="shared" si="41"/>
        <v/>
      </c>
      <c r="H132" s="45">
        <f t="shared" ca="1" si="36"/>
        <v>51</v>
      </c>
      <c r="I132" s="36">
        <f t="shared" ca="1" si="37"/>
        <v>0</v>
      </c>
      <c r="J132" s="36">
        <f t="shared" ca="1" si="38"/>
        <v>0</v>
      </c>
      <c r="L132" s="1">
        <f t="shared" ca="1" si="39"/>
        <v>0</v>
      </c>
      <c r="N132" s="21" t="str">
        <f t="shared" ca="1" si="46"/>
        <v/>
      </c>
      <c r="O132" s="22" t="str">
        <f t="shared" ca="1" si="46"/>
        <v/>
      </c>
      <c r="P132" s="22" t="str">
        <f t="shared" ca="1" si="46"/>
        <v/>
      </c>
      <c r="Q132" s="22" t="str">
        <f t="shared" ca="1" si="46"/>
        <v/>
      </c>
      <c r="R132" s="22" t="str">
        <f t="shared" ca="1" si="46"/>
        <v/>
      </c>
      <c r="S132" s="22" t="str">
        <f t="shared" ca="1" si="46"/>
        <v/>
      </c>
      <c r="T132" s="22" t="str">
        <f t="shared" ca="1" si="46"/>
        <v/>
      </c>
      <c r="U132" s="22" t="str">
        <f t="shared" ca="1" si="46"/>
        <v/>
      </c>
      <c r="V132" s="22" t="str">
        <f t="shared" ca="1" si="46"/>
        <v/>
      </c>
      <c r="W132" s="23" t="str">
        <f t="shared" ca="1" si="46"/>
        <v/>
      </c>
      <c r="Y132" s="21" t="str">
        <f t="shared" ca="1" si="45"/>
        <v/>
      </c>
      <c r="Z132" s="22" t="str">
        <f t="shared" ca="1" si="45"/>
        <v/>
      </c>
      <c r="AA132" s="22" t="str">
        <f t="shared" ca="1" si="45"/>
        <v/>
      </c>
      <c r="AB132" s="22" t="str">
        <f t="shared" ca="1" si="45"/>
        <v/>
      </c>
      <c r="AC132" s="22" t="str">
        <f t="shared" ca="1" si="45"/>
        <v/>
      </c>
      <c r="AD132" s="22" t="str">
        <f t="shared" ca="1" si="45"/>
        <v/>
      </c>
      <c r="AE132" s="22" t="str">
        <f t="shared" ca="1" si="45"/>
        <v/>
      </c>
      <c r="AF132" s="22" t="str">
        <f t="shared" ca="1" si="45"/>
        <v/>
      </c>
      <c r="AG132" s="22" t="str">
        <f t="shared" ca="1" si="45"/>
        <v/>
      </c>
      <c r="AH132" s="23" t="str">
        <f t="shared" ca="1" si="45"/>
        <v/>
      </c>
      <c r="AJ132" s="12" t="e">
        <f t="shared" si="28"/>
        <v>#N/A</v>
      </c>
      <c r="AK132" s="51" t="e">
        <f t="shared" si="29"/>
        <v>#N/A</v>
      </c>
      <c r="AL132" s="16" t="e">
        <f t="shared" si="30"/>
        <v>#N/A</v>
      </c>
      <c r="AM132" s="16" t="e">
        <f t="shared" si="31"/>
        <v>#N/A</v>
      </c>
      <c r="AN132" s="10" t="e">
        <f t="shared" ca="1" si="32"/>
        <v>#N/A</v>
      </c>
      <c r="AO132" s="10" t="e">
        <f t="shared" ca="1" si="33"/>
        <v>#N/A</v>
      </c>
      <c r="AP132" s="10" t="e">
        <f t="shared" si="34"/>
        <v>#N/A</v>
      </c>
      <c r="AQ132" s="10" t="e">
        <f t="shared" si="35"/>
        <v>#N/A</v>
      </c>
      <c r="AR132" s="10" t="e">
        <f t="shared" si="35"/>
        <v>#N/A</v>
      </c>
      <c r="BC132" s="29"/>
    </row>
    <row r="133" spans="2:55" x14ac:dyDescent="0.25">
      <c r="B133" s="41"/>
      <c r="C133" s="40"/>
      <c r="D133" s="63"/>
      <c r="E133" s="39"/>
      <c r="F133" s="60"/>
      <c r="G133" s="42" t="str">
        <f t="shared" si="41"/>
        <v/>
      </c>
      <c r="H133" s="45">
        <f t="shared" ca="1" si="36"/>
        <v>51</v>
      </c>
      <c r="I133" s="36">
        <f t="shared" ca="1" si="37"/>
        <v>0</v>
      </c>
      <c r="J133" s="36">
        <f t="shared" ca="1" si="38"/>
        <v>0</v>
      </c>
      <c r="L133" s="1">
        <f t="shared" ca="1" si="39"/>
        <v>0</v>
      </c>
      <c r="N133" s="21" t="str">
        <f t="shared" ca="1" si="46"/>
        <v/>
      </c>
      <c r="O133" s="22" t="str">
        <f t="shared" ca="1" si="46"/>
        <v/>
      </c>
      <c r="P133" s="22" t="str">
        <f t="shared" ca="1" si="46"/>
        <v/>
      </c>
      <c r="Q133" s="22" t="str">
        <f t="shared" ca="1" si="46"/>
        <v/>
      </c>
      <c r="R133" s="22" t="str">
        <f t="shared" ca="1" si="46"/>
        <v/>
      </c>
      <c r="S133" s="22" t="str">
        <f t="shared" ca="1" si="46"/>
        <v/>
      </c>
      <c r="T133" s="22" t="str">
        <f t="shared" ca="1" si="46"/>
        <v/>
      </c>
      <c r="U133" s="22" t="str">
        <f t="shared" ca="1" si="46"/>
        <v/>
      </c>
      <c r="V133" s="22" t="str">
        <f t="shared" ca="1" si="46"/>
        <v/>
      </c>
      <c r="W133" s="23" t="str">
        <f t="shared" ca="1" si="46"/>
        <v/>
      </c>
      <c r="Y133" s="21" t="str">
        <f t="shared" ca="1" si="45"/>
        <v/>
      </c>
      <c r="Z133" s="22" t="str">
        <f t="shared" ca="1" si="45"/>
        <v/>
      </c>
      <c r="AA133" s="22" t="str">
        <f t="shared" ca="1" si="45"/>
        <v/>
      </c>
      <c r="AB133" s="22" t="str">
        <f t="shared" ca="1" si="45"/>
        <v/>
      </c>
      <c r="AC133" s="22" t="str">
        <f t="shared" ca="1" si="45"/>
        <v/>
      </c>
      <c r="AD133" s="22" t="str">
        <f t="shared" ca="1" si="45"/>
        <v/>
      </c>
      <c r="AE133" s="22" t="str">
        <f t="shared" ca="1" si="45"/>
        <v/>
      </c>
      <c r="AF133" s="22" t="str">
        <f t="shared" ca="1" si="45"/>
        <v/>
      </c>
      <c r="AG133" s="22" t="str">
        <f t="shared" ca="1" si="45"/>
        <v/>
      </c>
      <c r="AH133" s="23" t="str">
        <f t="shared" ca="1" si="45"/>
        <v/>
      </c>
      <c r="AJ133" s="12" t="e">
        <f t="shared" si="28"/>
        <v>#N/A</v>
      </c>
      <c r="AK133" s="51" t="e">
        <f t="shared" si="29"/>
        <v>#N/A</v>
      </c>
      <c r="AL133" s="16" t="e">
        <f t="shared" si="30"/>
        <v>#N/A</v>
      </c>
      <c r="AM133" s="16" t="e">
        <f t="shared" si="31"/>
        <v>#N/A</v>
      </c>
      <c r="AN133" s="10" t="e">
        <f t="shared" ca="1" si="32"/>
        <v>#N/A</v>
      </c>
      <c r="AO133" s="10" t="e">
        <f t="shared" ca="1" si="33"/>
        <v>#N/A</v>
      </c>
      <c r="AP133" s="10" t="e">
        <f t="shared" si="34"/>
        <v>#N/A</v>
      </c>
      <c r="AQ133" s="10" t="e">
        <f t="shared" si="35"/>
        <v>#N/A</v>
      </c>
      <c r="AR133" s="10" t="e">
        <f t="shared" si="35"/>
        <v>#N/A</v>
      </c>
      <c r="BC133" s="29"/>
    </row>
    <row r="134" spans="2:55" x14ac:dyDescent="0.25">
      <c r="B134" s="41"/>
      <c r="C134" s="40"/>
      <c r="D134" s="63"/>
      <c r="E134" s="39"/>
      <c r="F134" s="60"/>
      <c r="G134" s="42" t="str">
        <f t="shared" si="41"/>
        <v/>
      </c>
      <c r="H134" s="45">
        <f t="shared" ca="1" si="36"/>
        <v>51</v>
      </c>
      <c r="I134" s="36">
        <f t="shared" ca="1" si="37"/>
        <v>0</v>
      </c>
      <c r="J134" s="36">
        <f t="shared" ca="1" si="38"/>
        <v>0</v>
      </c>
      <c r="L134" s="1">
        <f t="shared" ca="1" si="39"/>
        <v>0</v>
      </c>
      <c r="N134" s="21" t="str">
        <f t="shared" ca="1" si="46"/>
        <v/>
      </c>
      <c r="O134" s="22" t="str">
        <f t="shared" ca="1" si="46"/>
        <v/>
      </c>
      <c r="P134" s="22" t="str">
        <f t="shared" ca="1" si="46"/>
        <v/>
      </c>
      <c r="Q134" s="22" t="str">
        <f t="shared" ca="1" si="46"/>
        <v/>
      </c>
      <c r="R134" s="22" t="str">
        <f t="shared" ca="1" si="46"/>
        <v/>
      </c>
      <c r="S134" s="22" t="str">
        <f t="shared" ca="1" si="46"/>
        <v/>
      </c>
      <c r="T134" s="22" t="str">
        <f t="shared" ca="1" si="46"/>
        <v/>
      </c>
      <c r="U134" s="22" t="str">
        <f t="shared" ca="1" si="46"/>
        <v/>
      </c>
      <c r="V134" s="22" t="str">
        <f t="shared" ca="1" si="46"/>
        <v/>
      </c>
      <c r="W134" s="23" t="str">
        <f t="shared" ca="1" si="46"/>
        <v/>
      </c>
      <c r="Y134" s="21" t="str">
        <f t="shared" ca="1" si="45"/>
        <v/>
      </c>
      <c r="Z134" s="22" t="str">
        <f t="shared" ca="1" si="45"/>
        <v/>
      </c>
      <c r="AA134" s="22" t="str">
        <f t="shared" ca="1" si="45"/>
        <v/>
      </c>
      <c r="AB134" s="22" t="str">
        <f t="shared" ca="1" si="45"/>
        <v/>
      </c>
      <c r="AC134" s="22" t="str">
        <f t="shared" ca="1" si="45"/>
        <v/>
      </c>
      <c r="AD134" s="22" t="str">
        <f t="shared" ca="1" si="45"/>
        <v/>
      </c>
      <c r="AE134" s="22" t="str">
        <f t="shared" ca="1" si="45"/>
        <v/>
      </c>
      <c r="AF134" s="22" t="str">
        <f t="shared" ca="1" si="45"/>
        <v/>
      </c>
      <c r="AG134" s="22" t="str">
        <f t="shared" ca="1" si="45"/>
        <v/>
      </c>
      <c r="AH134" s="23" t="str">
        <f t="shared" ca="1" si="45"/>
        <v/>
      </c>
      <c r="AJ134" s="12" t="e">
        <f t="shared" si="28"/>
        <v>#N/A</v>
      </c>
      <c r="AK134" s="51" t="e">
        <f t="shared" si="29"/>
        <v>#N/A</v>
      </c>
      <c r="AL134" s="16" t="e">
        <f t="shared" si="30"/>
        <v>#N/A</v>
      </c>
      <c r="AM134" s="16" t="e">
        <f t="shared" si="31"/>
        <v>#N/A</v>
      </c>
      <c r="AN134" s="10" t="e">
        <f t="shared" ca="1" si="32"/>
        <v>#N/A</v>
      </c>
      <c r="AO134" s="10" t="e">
        <f t="shared" ca="1" si="33"/>
        <v>#N/A</v>
      </c>
      <c r="AP134" s="10" t="e">
        <f t="shared" si="34"/>
        <v>#N/A</v>
      </c>
      <c r="AQ134" s="10" t="e">
        <f t="shared" si="35"/>
        <v>#N/A</v>
      </c>
      <c r="AR134" s="10" t="e">
        <f t="shared" si="35"/>
        <v>#N/A</v>
      </c>
      <c r="BC134" s="29"/>
    </row>
    <row r="135" spans="2:55" x14ac:dyDescent="0.25">
      <c r="B135" s="41"/>
      <c r="C135" s="40"/>
      <c r="D135" s="63"/>
      <c r="E135" s="39"/>
      <c r="F135" s="60"/>
      <c r="G135" s="42" t="str">
        <f t="shared" si="41"/>
        <v/>
      </c>
      <c r="H135" s="45">
        <f t="shared" ca="1" si="36"/>
        <v>51</v>
      </c>
      <c r="I135" s="36">
        <f t="shared" ca="1" si="37"/>
        <v>0</v>
      </c>
      <c r="J135" s="36">
        <f t="shared" ca="1" si="38"/>
        <v>0</v>
      </c>
      <c r="L135" s="1">
        <f t="shared" ca="1" si="39"/>
        <v>0</v>
      </c>
      <c r="N135" s="21" t="str">
        <f t="shared" ca="1" si="46"/>
        <v/>
      </c>
      <c r="O135" s="22" t="str">
        <f t="shared" ca="1" si="46"/>
        <v/>
      </c>
      <c r="P135" s="22" t="str">
        <f t="shared" ca="1" si="46"/>
        <v/>
      </c>
      <c r="Q135" s="22" t="str">
        <f t="shared" ca="1" si="46"/>
        <v/>
      </c>
      <c r="R135" s="22" t="str">
        <f t="shared" ca="1" si="46"/>
        <v/>
      </c>
      <c r="S135" s="22" t="str">
        <f t="shared" ca="1" si="46"/>
        <v/>
      </c>
      <c r="T135" s="22" t="str">
        <f t="shared" ca="1" si="46"/>
        <v/>
      </c>
      <c r="U135" s="22" t="str">
        <f t="shared" ca="1" si="46"/>
        <v/>
      </c>
      <c r="V135" s="22" t="str">
        <f t="shared" ca="1" si="46"/>
        <v/>
      </c>
      <c r="W135" s="23" t="str">
        <f t="shared" ca="1" si="46"/>
        <v/>
      </c>
      <c r="Y135" s="21" t="str">
        <f t="shared" ca="1" si="45"/>
        <v/>
      </c>
      <c r="Z135" s="22" t="str">
        <f t="shared" ca="1" si="45"/>
        <v/>
      </c>
      <c r="AA135" s="22" t="str">
        <f t="shared" ca="1" si="45"/>
        <v/>
      </c>
      <c r="AB135" s="22" t="str">
        <f t="shared" ca="1" si="45"/>
        <v/>
      </c>
      <c r="AC135" s="22" t="str">
        <f t="shared" ca="1" si="45"/>
        <v/>
      </c>
      <c r="AD135" s="22" t="str">
        <f t="shared" ca="1" si="45"/>
        <v/>
      </c>
      <c r="AE135" s="22" t="str">
        <f t="shared" ca="1" si="45"/>
        <v/>
      </c>
      <c r="AF135" s="22" t="str">
        <f t="shared" ca="1" si="45"/>
        <v/>
      </c>
      <c r="AG135" s="22" t="str">
        <f t="shared" ca="1" si="45"/>
        <v/>
      </c>
      <c r="AH135" s="23" t="str">
        <f t="shared" ca="1" si="45"/>
        <v/>
      </c>
      <c r="AJ135" s="12" t="e">
        <f t="shared" si="28"/>
        <v>#N/A</v>
      </c>
      <c r="AK135" s="51" t="e">
        <f t="shared" si="29"/>
        <v>#N/A</v>
      </c>
      <c r="AL135" s="16" t="e">
        <f t="shared" si="30"/>
        <v>#N/A</v>
      </c>
      <c r="AM135" s="16" t="e">
        <f t="shared" si="31"/>
        <v>#N/A</v>
      </c>
      <c r="AN135" s="10" t="e">
        <f t="shared" ca="1" si="32"/>
        <v>#N/A</v>
      </c>
      <c r="AO135" s="10" t="e">
        <f t="shared" ca="1" si="33"/>
        <v>#N/A</v>
      </c>
      <c r="AP135" s="10" t="e">
        <f t="shared" si="34"/>
        <v>#N/A</v>
      </c>
      <c r="AQ135" s="10" t="e">
        <f t="shared" si="35"/>
        <v>#N/A</v>
      </c>
      <c r="AR135" s="10" t="e">
        <f t="shared" si="35"/>
        <v>#N/A</v>
      </c>
      <c r="BC135" s="29"/>
    </row>
    <row r="136" spans="2:55" x14ac:dyDescent="0.25">
      <c r="B136" s="41"/>
      <c r="C136" s="40"/>
      <c r="D136" s="63"/>
      <c r="E136" s="39"/>
      <c r="F136" s="60"/>
      <c r="G136" s="42" t="str">
        <f t="shared" si="41"/>
        <v/>
      </c>
      <c r="H136" s="45">
        <f t="shared" ca="1" si="36"/>
        <v>51</v>
      </c>
      <c r="I136" s="36">
        <f t="shared" ca="1" si="37"/>
        <v>0</v>
      </c>
      <c r="J136" s="36">
        <f t="shared" ca="1" si="38"/>
        <v>0</v>
      </c>
      <c r="L136" s="1">
        <f t="shared" ca="1" si="39"/>
        <v>0</v>
      </c>
      <c r="N136" s="21" t="str">
        <f t="shared" ca="1" si="46"/>
        <v/>
      </c>
      <c r="O136" s="22" t="str">
        <f t="shared" ca="1" si="46"/>
        <v/>
      </c>
      <c r="P136" s="22" t="str">
        <f t="shared" ca="1" si="46"/>
        <v/>
      </c>
      <c r="Q136" s="22" t="str">
        <f t="shared" ca="1" si="46"/>
        <v/>
      </c>
      <c r="R136" s="22" t="str">
        <f t="shared" ca="1" si="46"/>
        <v/>
      </c>
      <c r="S136" s="22" t="str">
        <f t="shared" ca="1" si="46"/>
        <v/>
      </c>
      <c r="T136" s="22" t="str">
        <f t="shared" ca="1" si="46"/>
        <v/>
      </c>
      <c r="U136" s="22" t="str">
        <f t="shared" ca="1" si="46"/>
        <v/>
      </c>
      <c r="V136" s="22" t="str">
        <f t="shared" ca="1" si="46"/>
        <v/>
      </c>
      <c r="W136" s="23" t="str">
        <f t="shared" ca="1" si="46"/>
        <v/>
      </c>
      <c r="Y136" s="21" t="str">
        <f t="shared" ca="1" si="45"/>
        <v/>
      </c>
      <c r="Z136" s="22" t="str">
        <f t="shared" ca="1" si="45"/>
        <v/>
      </c>
      <c r="AA136" s="22" t="str">
        <f t="shared" ca="1" si="45"/>
        <v/>
      </c>
      <c r="AB136" s="22" t="str">
        <f t="shared" ca="1" si="45"/>
        <v/>
      </c>
      <c r="AC136" s="22" t="str">
        <f t="shared" ca="1" si="45"/>
        <v/>
      </c>
      <c r="AD136" s="22" t="str">
        <f t="shared" ca="1" si="45"/>
        <v/>
      </c>
      <c r="AE136" s="22" t="str">
        <f t="shared" ca="1" si="45"/>
        <v/>
      </c>
      <c r="AF136" s="22" t="str">
        <f t="shared" ca="1" si="45"/>
        <v/>
      </c>
      <c r="AG136" s="22" t="str">
        <f t="shared" ca="1" si="45"/>
        <v/>
      </c>
      <c r="AH136" s="23" t="str">
        <f t="shared" ca="1" si="45"/>
        <v/>
      </c>
      <c r="AJ136" s="12" t="e">
        <f t="shared" si="28"/>
        <v>#N/A</v>
      </c>
      <c r="AK136" s="51" t="e">
        <f t="shared" si="29"/>
        <v>#N/A</v>
      </c>
      <c r="AL136" s="16" t="e">
        <f t="shared" si="30"/>
        <v>#N/A</v>
      </c>
      <c r="AM136" s="16" t="e">
        <f t="shared" si="31"/>
        <v>#N/A</v>
      </c>
      <c r="AN136" s="10" t="e">
        <f t="shared" ca="1" si="32"/>
        <v>#N/A</v>
      </c>
      <c r="AO136" s="10" t="e">
        <f t="shared" ca="1" si="33"/>
        <v>#N/A</v>
      </c>
      <c r="AP136" s="10" t="e">
        <f t="shared" si="34"/>
        <v>#N/A</v>
      </c>
      <c r="AQ136" s="10" t="e">
        <f t="shared" si="35"/>
        <v>#N/A</v>
      </c>
      <c r="AR136" s="10" t="e">
        <f t="shared" si="35"/>
        <v>#N/A</v>
      </c>
      <c r="BC136" s="29"/>
    </row>
    <row r="137" spans="2:55" x14ac:dyDescent="0.25">
      <c r="B137" s="41"/>
      <c r="C137" s="40"/>
      <c r="D137" s="63"/>
      <c r="E137" s="39"/>
      <c r="F137" s="60"/>
      <c r="G137" s="42" t="str">
        <f t="shared" si="41"/>
        <v/>
      </c>
      <c r="H137" s="45">
        <f t="shared" ca="1" si="36"/>
        <v>51</v>
      </c>
      <c r="I137" s="36">
        <f t="shared" ca="1" si="37"/>
        <v>0</v>
      </c>
      <c r="J137" s="36">
        <f t="shared" ca="1" si="38"/>
        <v>0</v>
      </c>
      <c r="L137" s="1">
        <f t="shared" ca="1" si="39"/>
        <v>0</v>
      </c>
      <c r="N137" s="21" t="str">
        <f t="shared" ca="1" si="46"/>
        <v/>
      </c>
      <c r="O137" s="22" t="str">
        <f t="shared" ca="1" si="46"/>
        <v/>
      </c>
      <c r="P137" s="22" t="str">
        <f t="shared" ca="1" si="46"/>
        <v/>
      </c>
      <c r="Q137" s="22" t="str">
        <f t="shared" ca="1" si="46"/>
        <v/>
      </c>
      <c r="R137" s="22" t="str">
        <f t="shared" ca="1" si="46"/>
        <v/>
      </c>
      <c r="S137" s="22" t="str">
        <f t="shared" ca="1" si="46"/>
        <v/>
      </c>
      <c r="T137" s="22" t="str">
        <f t="shared" ca="1" si="46"/>
        <v/>
      </c>
      <c r="U137" s="22" t="str">
        <f t="shared" ca="1" si="46"/>
        <v/>
      </c>
      <c r="V137" s="22" t="str">
        <f t="shared" ca="1" si="46"/>
        <v/>
      </c>
      <c r="W137" s="23" t="str">
        <f t="shared" ca="1" si="46"/>
        <v/>
      </c>
      <c r="Y137" s="21" t="str">
        <f t="shared" ca="1" si="45"/>
        <v/>
      </c>
      <c r="Z137" s="22" t="str">
        <f t="shared" ca="1" si="45"/>
        <v/>
      </c>
      <c r="AA137" s="22" t="str">
        <f t="shared" ca="1" si="45"/>
        <v/>
      </c>
      <c r="AB137" s="22" t="str">
        <f t="shared" ca="1" si="45"/>
        <v/>
      </c>
      <c r="AC137" s="22" t="str">
        <f t="shared" ca="1" si="45"/>
        <v/>
      </c>
      <c r="AD137" s="22" t="str">
        <f t="shared" ca="1" si="45"/>
        <v/>
      </c>
      <c r="AE137" s="22" t="str">
        <f t="shared" ca="1" si="45"/>
        <v/>
      </c>
      <c r="AF137" s="22" t="str">
        <f t="shared" ca="1" si="45"/>
        <v/>
      </c>
      <c r="AG137" s="22" t="str">
        <f t="shared" ca="1" si="45"/>
        <v/>
      </c>
      <c r="AH137" s="23" t="str">
        <f t="shared" ca="1" si="45"/>
        <v/>
      </c>
      <c r="AJ137" s="12" t="e">
        <f t="shared" si="28"/>
        <v>#N/A</v>
      </c>
      <c r="AK137" s="51" t="e">
        <f t="shared" si="29"/>
        <v>#N/A</v>
      </c>
      <c r="AL137" s="16" t="e">
        <f t="shared" si="30"/>
        <v>#N/A</v>
      </c>
      <c r="AM137" s="16" t="e">
        <f t="shared" si="31"/>
        <v>#N/A</v>
      </c>
      <c r="AN137" s="10" t="e">
        <f t="shared" ca="1" si="32"/>
        <v>#N/A</v>
      </c>
      <c r="AO137" s="10" t="e">
        <f t="shared" ca="1" si="33"/>
        <v>#N/A</v>
      </c>
      <c r="AP137" s="10" t="e">
        <f t="shared" si="34"/>
        <v>#N/A</v>
      </c>
      <c r="AQ137" s="10" t="e">
        <f t="shared" si="35"/>
        <v>#N/A</v>
      </c>
      <c r="AR137" s="10" t="e">
        <f t="shared" si="35"/>
        <v>#N/A</v>
      </c>
      <c r="BC137" s="29"/>
    </row>
    <row r="138" spans="2:55" x14ac:dyDescent="0.25">
      <c r="B138" s="41"/>
      <c r="C138" s="40"/>
      <c r="D138" s="63"/>
      <c r="E138" s="39"/>
      <c r="F138" s="60"/>
      <c r="G138" s="42" t="str">
        <f t="shared" si="41"/>
        <v/>
      </c>
      <c r="H138" s="45">
        <f t="shared" ca="1" si="36"/>
        <v>51</v>
      </c>
      <c r="I138" s="36">
        <f t="shared" ca="1" si="37"/>
        <v>0</v>
      </c>
      <c r="J138" s="36">
        <f t="shared" ca="1" si="38"/>
        <v>0</v>
      </c>
      <c r="L138" s="1">
        <f t="shared" ca="1" si="39"/>
        <v>0</v>
      </c>
      <c r="N138" s="21" t="str">
        <f t="shared" ca="1" si="46"/>
        <v/>
      </c>
      <c r="O138" s="22" t="str">
        <f t="shared" ca="1" si="46"/>
        <v/>
      </c>
      <c r="P138" s="22" t="str">
        <f t="shared" ca="1" si="46"/>
        <v/>
      </c>
      <c r="Q138" s="22" t="str">
        <f t="shared" ca="1" si="46"/>
        <v/>
      </c>
      <c r="R138" s="22" t="str">
        <f t="shared" ca="1" si="46"/>
        <v/>
      </c>
      <c r="S138" s="22" t="str">
        <f t="shared" ca="1" si="46"/>
        <v/>
      </c>
      <c r="T138" s="22" t="str">
        <f t="shared" ca="1" si="46"/>
        <v/>
      </c>
      <c r="U138" s="22" t="str">
        <f t="shared" ca="1" si="46"/>
        <v/>
      </c>
      <c r="V138" s="22" t="str">
        <f t="shared" ca="1" si="46"/>
        <v/>
      </c>
      <c r="W138" s="23" t="str">
        <f t="shared" ca="1" si="46"/>
        <v/>
      </c>
      <c r="Y138" s="21" t="str">
        <f t="shared" ca="1" si="45"/>
        <v/>
      </c>
      <c r="Z138" s="22" t="str">
        <f t="shared" ca="1" si="45"/>
        <v/>
      </c>
      <c r="AA138" s="22" t="str">
        <f t="shared" ca="1" si="45"/>
        <v/>
      </c>
      <c r="AB138" s="22" t="str">
        <f t="shared" ca="1" si="45"/>
        <v/>
      </c>
      <c r="AC138" s="22" t="str">
        <f t="shared" ca="1" si="45"/>
        <v/>
      </c>
      <c r="AD138" s="22" t="str">
        <f t="shared" ca="1" si="45"/>
        <v/>
      </c>
      <c r="AE138" s="22" t="str">
        <f t="shared" ca="1" si="45"/>
        <v/>
      </c>
      <c r="AF138" s="22" t="str">
        <f t="shared" ca="1" si="45"/>
        <v/>
      </c>
      <c r="AG138" s="22" t="str">
        <f t="shared" ca="1" si="45"/>
        <v/>
      </c>
      <c r="AH138" s="23" t="str">
        <f t="shared" ca="1" si="45"/>
        <v/>
      </c>
      <c r="AJ138" s="12" t="e">
        <f t="shared" si="28"/>
        <v>#N/A</v>
      </c>
      <c r="AK138" s="51" t="e">
        <f t="shared" si="29"/>
        <v>#N/A</v>
      </c>
      <c r="AL138" s="16" t="e">
        <f t="shared" si="30"/>
        <v>#N/A</v>
      </c>
      <c r="AM138" s="16" t="e">
        <f t="shared" si="31"/>
        <v>#N/A</v>
      </c>
      <c r="AN138" s="10" t="e">
        <f t="shared" ca="1" si="32"/>
        <v>#N/A</v>
      </c>
      <c r="AO138" s="10" t="e">
        <f t="shared" ca="1" si="33"/>
        <v>#N/A</v>
      </c>
      <c r="AP138" s="10" t="e">
        <f t="shared" si="34"/>
        <v>#N/A</v>
      </c>
      <c r="AQ138" s="10" t="e">
        <f t="shared" si="35"/>
        <v>#N/A</v>
      </c>
      <c r="AR138" s="10" t="e">
        <f t="shared" si="35"/>
        <v>#N/A</v>
      </c>
      <c r="BC138" s="29"/>
    </row>
    <row r="139" spans="2:55" x14ac:dyDescent="0.25">
      <c r="B139" s="41"/>
      <c r="C139" s="40"/>
      <c r="D139" s="63"/>
      <c r="E139" s="39"/>
      <c r="F139" s="60"/>
      <c r="G139" s="42" t="str">
        <f t="shared" si="41"/>
        <v/>
      </c>
      <c r="H139" s="45">
        <f t="shared" ca="1" si="36"/>
        <v>51</v>
      </c>
      <c r="I139" s="36">
        <f t="shared" ca="1" si="37"/>
        <v>0</v>
      </c>
      <c r="J139" s="36">
        <f t="shared" ca="1" si="38"/>
        <v>0</v>
      </c>
      <c r="L139" s="1">
        <f t="shared" ca="1" si="39"/>
        <v>0</v>
      </c>
      <c r="N139" s="21" t="str">
        <f t="shared" ref="N139:W154" ca="1" si="47">IF(ISNUMBER($C139),IF($G139&lt;=$C$9,IF($L139=N$25,$C139,""),IF(COUNT(INDIRECT(ADDRESS(ROW(N$26),COLUMN())&amp;":"&amp;ADDRESS(ROW()-1,COLUMN())))&gt;$C$13,"",IF($L139=N$25,$C139,""))),"")</f>
        <v/>
      </c>
      <c r="O139" s="22" t="str">
        <f t="shared" ca="1" si="47"/>
        <v/>
      </c>
      <c r="P139" s="22" t="str">
        <f t="shared" ca="1" si="47"/>
        <v/>
      </c>
      <c r="Q139" s="22" t="str">
        <f t="shared" ca="1" si="47"/>
        <v/>
      </c>
      <c r="R139" s="22" t="str">
        <f t="shared" ca="1" si="47"/>
        <v/>
      </c>
      <c r="S139" s="22" t="str">
        <f t="shared" ca="1" si="47"/>
        <v/>
      </c>
      <c r="T139" s="22" t="str">
        <f t="shared" ca="1" si="47"/>
        <v/>
      </c>
      <c r="U139" s="22" t="str">
        <f t="shared" ca="1" si="47"/>
        <v/>
      </c>
      <c r="V139" s="22" t="str">
        <f t="shared" ca="1" si="47"/>
        <v/>
      </c>
      <c r="W139" s="23" t="str">
        <f t="shared" ca="1" si="47"/>
        <v/>
      </c>
      <c r="Y139" s="21" t="str">
        <f t="shared" ca="1" si="45"/>
        <v/>
      </c>
      <c r="Z139" s="22" t="str">
        <f t="shared" ca="1" si="45"/>
        <v/>
      </c>
      <c r="AA139" s="22" t="str">
        <f t="shared" ca="1" si="45"/>
        <v/>
      </c>
      <c r="AB139" s="22" t="str">
        <f t="shared" ca="1" si="45"/>
        <v/>
      </c>
      <c r="AC139" s="22" t="str">
        <f t="shared" ca="1" si="45"/>
        <v/>
      </c>
      <c r="AD139" s="22" t="str">
        <f t="shared" ca="1" si="45"/>
        <v/>
      </c>
      <c r="AE139" s="22" t="str">
        <f t="shared" ca="1" si="45"/>
        <v/>
      </c>
      <c r="AF139" s="22" t="str">
        <f t="shared" ca="1" si="45"/>
        <v/>
      </c>
      <c r="AG139" s="22" t="str">
        <f t="shared" ca="1" si="45"/>
        <v/>
      </c>
      <c r="AH139" s="23" t="str">
        <f t="shared" ca="1" si="45"/>
        <v/>
      </c>
      <c r="AJ139" s="12" t="e">
        <f t="shared" si="28"/>
        <v>#N/A</v>
      </c>
      <c r="AK139" s="51" t="e">
        <f t="shared" si="29"/>
        <v>#N/A</v>
      </c>
      <c r="AL139" s="16" t="e">
        <f t="shared" si="30"/>
        <v>#N/A</v>
      </c>
      <c r="AM139" s="16" t="e">
        <f t="shared" si="31"/>
        <v>#N/A</v>
      </c>
      <c r="AN139" s="10" t="e">
        <f t="shared" ca="1" si="32"/>
        <v>#N/A</v>
      </c>
      <c r="AO139" s="10" t="e">
        <f t="shared" ca="1" si="33"/>
        <v>#N/A</v>
      </c>
      <c r="AP139" s="10" t="e">
        <f t="shared" si="34"/>
        <v>#N/A</v>
      </c>
      <c r="AQ139" s="10" t="e">
        <f t="shared" si="35"/>
        <v>#N/A</v>
      </c>
      <c r="AR139" s="10" t="e">
        <f t="shared" si="35"/>
        <v>#N/A</v>
      </c>
      <c r="BC139" s="29"/>
    </row>
    <row r="140" spans="2:55" x14ac:dyDescent="0.25">
      <c r="B140" s="41"/>
      <c r="C140" s="40"/>
      <c r="D140" s="63"/>
      <c r="E140" s="39"/>
      <c r="F140" s="60"/>
      <c r="G140" s="42" t="str">
        <f t="shared" si="41"/>
        <v/>
      </c>
      <c r="H140" s="45">
        <f t="shared" ca="1" si="36"/>
        <v>51</v>
      </c>
      <c r="I140" s="36">
        <f t="shared" ca="1" si="37"/>
        <v>0</v>
      </c>
      <c r="J140" s="36">
        <f t="shared" ca="1" si="38"/>
        <v>0</v>
      </c>
      <c r="L140" s="1">
        <f t="shared" ca="1" si="39"/>
        <v>0</v>
      </c>
      <c r="N140" s="21" t="str">
        <f t="shared" ca="1" si="47"/>
        <v/>
      </c>
      <c r="O140" s="22" t="str">
        <f t="shared" ca="1" si="47"/>
        <v/>
      </c>
      <c r="P140" s="22" t="str">
        <f t="shared" ca="1" si="47"/>
        <v/>
      </c>
      <c r="Q140" s="22" t="str">
        <f t="shared" ca="1" si="47"/>
        <v/>
      </c>
      <c r="R140" s="22" t="str">
        <f t="shared" ca="1" si="47"/>
        <v/>
      </c>
      <c r="S140" s="22" t="str">
        <f t="shared" ca="1" si="47"/>
        <v/>
      </c>
      <c r="T140" s="22" t="str">
        <f t="shared" ca="1" si="47"/>
        <v/>
      </c>
      <c r="U140" s="22" t="str">
        <f t="shared" ca="1" si="47"/>
        <v/>
      </c>
      <c r="V140" s="22" t="str">
        <f t="shared" ca="1" si="47"/>
        <v/>
      </c>
      <c r="W140" s="23" t="str">
        <f t="shared" ca="1" si="47"/>
        <v/>
      </c>
      <c r="Y140" s="21" t="str">
        <f t="shared" ca="1" si="45"/>
        <v/>
      </c>
      <c r="Z140" s="22" t="str">
        <f t="shared" ca="1" si="45"/>
        <v/>
      </c>
      <c r="AA140" s="22" t="str">
        <f t="shared" ca="1" si="45"/>
        <v/>
      </c>
      <c r="AB140" s="22" t="str">
        <f t="shared" ca="1" si="45"/>
        <v/>
      </c>
      <c r="AC140" s="22" t="str">
        <f t="shared" ca="1" si="45"/>
        <v/>
      </c>
      <c r="AD140" s="22" t="str">
        <f t="shared" ca="1" si="45"/>
        <v/>
      </c>
      <c r="AE140" s="22" t="str">
        <f t="shared" ca="1" si="45"/>
        <v/>
      </c>
      <c r="AF140" s="22" t="str">
        <f t="shared" ca="1" si="45"/>
        <v/>
      </c>
      <c r="AG140" s="22" t="str">
        <f t="shared" ca="1" si="45"/>
        <v/>
      </c>
      <c r="AH140" s="23" t="str">
        <f t="shared" ca="1" si="45"/>
        <v/>
      </c>
      <c r="AJ140" s="12" t="e">
        <f t="shared" si="28"/>
        <v>#N/A</v>
      </c>
      <c r="AK140" s="51" t="e">
        <f t="shared" si="29"/>
        <v>#N/A</v>
      </c>
      <c r="AL140" s="16" t="e">
        <f t="shared" si="30"/>
        <v>#N/A</v>
      </c>
      <c r="AM140" s="16" t="e">
        <f t="shared" si="31"/>
        <v>#N/A</v>
      </c>
      <c r="AN140" s="10" t="e">
        <f t="shared" ca="1" si="32"/>
        <v>#N/A</v>
      </c>
      <c r="AO140" s="10" t="e">
        <f t="shared" ca="1" si="33"/>
        <v>#N/A</v>
      </c>
      <c r="AP140" s="10" t="e">
        <f t="shared" si="34"/>
        <v>#N/A</v>
      </c>
      <c r="AQ140" s="10" t="e">
        <f t="shared" si="35"/>
        <v>#N/A</v>
      </c>
      <c r="AR140" s="10" t="e">
        <f t="shared" si="35"/>
        <v>#N/A</v>
      </c>
      <c r="BC140" s="29"/>
    </row>
    <row r="141" spans="2:55" x14ac:dyDescent="0.25">
      <c r="B141" s="41"/>
      <c r="C141" s="40"/>
      <c r="D141" s="63"/>
      <c r="E141" s="39"/>
      <c r="F141" s="60"/>
      <c r="G141" s="42" t="str">
        <f t="shared" si="41"/>
        <v/>
      </c>
      <c r="H141" s="45">
        <f t="shared" ca="1" si="36"/>
        <v>51</v>
      </c>
      <c r="I141" s="36">
        <f t="shared" ca="1" si="37"/>
        <v>0</v>
      </c>
      <c r="J141" s="36">
        <f t="shared" ca="1" si="38"/>
        <v>0</v>
      </c>
      <c r="L141" s="1">
        <f t="shared" ca="1" si="39"/>
        <v>0</v>
      </c>
      <c r="N141" s="21" t="str">
        <f t="shared" ca="1" si="47"/>
        <v/>
      </c>
      <c r="O141" s="22" t="str">
        <f t="shared" ca="1" si="47"/>
        <v/>
      </c>
      <c r="P141" s="22" t="str">
        <f t="shared" ca="1" si="47"/>
        <v/>
      </c>
      <c r="Q141" s="22" t="str">
        <f t="shared" ca="1" si="47"/>
        <v/>
      </c>
      <c r="R141" s="22" t="str">
        <f t="shared" ca="1" si="47"/>
        <v/>
      </c>
      <c r="S141" s="22" t="str">
        <f t="shared" ca="1" si="47"/>
        <v/>
      </c>
      <c r="T141" s="22" t="str">
        <f t="shared" ca="1" si="47"/>
        <v/>
      </c>
      <c r="U141" s="22" t="str">
        <f t="shared" ca="1" si="47"/>
        <v/>
      </c>
      <c r="V141" s="22" t="str">
        <f t="shared" ca="1" si="47"/>
        <v/>
      </c>
      <c r="W141" s="23" t="str">
        <f t="shared" ca="1" si="47"/>
        <v/>
      </c>
      <c r="Y141" s="21" t="str">
        <f t="shared" ca="1" si="45"/>
        <v/>
      </c>
      <c r="Z141" s="22" t="str">
        <f t="shared" ca="1" si="45"/>
        <v/>
      </c>
      <c r="AA141" s="22" t="str">
        <f t="shared" ca="1" si="45"/>
        <v/>
      </c>
      <c r="AB141" s="22" t="str">
        <f t="shared" ca="1" si="45"/>
        <v/>
      </c>
      <c r="AC141" s="22" t="str">
        <f t="shared" ca="1" si="45"/>
        <v/>
      </c>
      <c r="AD141" s="22" t="str">
        <f t="shared" ca="1" si="45"/>
        <v/>
      </c>
      <c r="AE141" s="22" t="str">
        <f t="shared" ca="1" si="45"/>
        <v/>
      </c>
      <c r="AF141" s="22" t="str">
        <f t="shared" ca="1" si="45"/>
        <v/>
      </c>
      <c r="AG141" s="22" t="str">
        <f t="shared" ca="1" si="45"/>
        <v/>
      </c>
      <c r="AH141" s="23" t="str">
        <f t="shared" ca="1" si="45"/>
        <v/>
      </c>
      <c r="AJ141" s="12" t="e">
        <f t="shared" si="28"/>
        <v>#N/A</v>
      </c>
      <c r="AK141" s="51" t="e">
        <f t="shared" si="29"/>
        <v>#N/A</v>
      </c>
      <c r="AL141" s="16" t="e">
        <f t="shared" si="30"/>
        <v>#N/A</v>
      </c>
      <c r="AM141" s="16" t="e">
        <f t="shared" si="31"/>
        <v>#N/A</v>
      </c>
      <c r="AN141" s="10" t="e">
        <f t="shared" ca="1" si="32"/>
        <v>#N/A</v>
      </c>
      <c r="AO141" s="10" t="e">
        <f t="shared" ca="1" si="33"/>
        <v>#N/A</v>
      </c>
      <c r="AP141" s="10" t="e">
        <f t="shared" si="34"/>
        <v>#N/A</v>
      </c>
      <c r="AQ141" s="10" t="e">
        <f t="shared" si="35"/>
        <v>#N/A</v>
      </c>
      <c r="AR141" s="10" t="e">
        <f t="shared" si="35"/>
        <v>#N/A</v>
      </c>
      <c r="BC141" s="29"/>
    </row>
    <row r="142" spans="2:55" x14ac:dyDescent="0.25">
      <c r="B142" s="41"/>
      <c r="C142" s="40"/>
      <c r="D142" s="63"/>
      <c r="E142" s="39"/>
      <c r="F142" s="60"/>
      <c r="G142" s="42" t="str">
        <f t="shared" si="41"/>
        <v/>
      </c>
      <c r="H142" s="45">
        <f t="shared" ca="1" si="36"/>
        <v>51</v>
      </c>
      <c r="I142" s="36">
        <f t="shared" ca="1" si="37"/>
        <v>0</v>
      </c>
      <c r="J142" s="36">
        <f t="shared" ca="1" si="38"/>
        <v>0</v>
      </c>
      <c r="L142" s="1">
        <f t="shared" ca="1" si="39"/>
        <v>0</v>
      </c>
      <c r="N142" s="21" t="str">
        <f t="shared" ca="1" si="47"/>
        <v/>
      </c>
      <c r="O142" s="22" t="str">
        <f t="shared" ca="1" si="47"/>
        <v/>
      </c>
      <c r="P142" s="22" t="str">
        <f t="shared" ca="1" si="47"/>
        <v/>
      </c>
      <c r="Q142" s="22" t="str">
        <f t="shared" ca="1" si="47"/>
        <v/>
      </c>
      <c r="R142" s="22" t="str">
        <f t="shared" ca="1" si="47"/>
        <v/>
      </c>
      <c r="S142" s="22" t="str">
        <f t="shared" ca="1" si="47"/>
        <v/>
      </c>
      <c r="T142" s="22" t="str">
        <f t="shared" ca="1" si="47"/>
        <v/>
      </c>
      <c r="U142" s="22" t="str">
        <f t="shared" ca="1" si="47"/>
        <v/>
      </c>
      <c r="V142" s="22" t="str">
        <f t="shared" ca="1" si="47"/>
        <v/>
      </c>
      <c r="W142" s="23" t="str">
        <f t="shared" ca="1" si="47"/>
        <v/>
      </c>
      <c r="Y142" s="21" t="str">
        <f t="shared" ca="1" si="45"/>
        <v/>
      </c>
      <c r="Z142" s="22" t="str">
        <f t="shared" ca="1" si="45"/>
        <v/>
      </c>
      <c r="AA142" s="22" t="str">
        <f t="shared" ca="1" si="45"/>
        <v/>
      </c>
      <c r="AB142" s="22" t="str">
        <f t="shared" ca="1" si="45"/>
        <v/>
      </c>
      <c r="AC142" s="22" t="str">
        <f t="shared" ca="1" si="45"/>
        <v/>
      </c>
      <c r="AD142" s="22" t="str">
        <f t="shared" ref="AD142:AH192" ca="1" si="48">IFERROR(ABS(S142-S141),"")</f>
        <v/>
      </c>
      <c r="AE142" s="22" t="str">
        <f t="shared" ca="1" si="48"/>
        <v/>
      </c>
      <c r="AF142" s="22" t="str">
        <f t="shared" ca="1" si="48"/>
        <v/>
      </c>
      <c r="AG142" s="22" t="str">
        <f t="shared" ca="1" si="48"/>
        <v/>
      </c>
      <c r="AH142" s="23" t="str">
        <f t="shared" ca="1" si="48"/>
        <v/>
      </c>
      <c r="AJ142" s="12" t="e">
        <f t="shared" si="28"/>
        <v>#N/A</v>
      </c>
      <c r="AK142" s="51" t="e">
        <f t="shared" si="29"/>
        <v>#N/A</v>
      </c>
      <c r="AL142" s="16" t="e">
        <f t="shared" si="30"/>
        <v>#N/A</v>
      </c>
      <c r="AM142" s="16" t="e">
        <f t="shared" si="31"/>
        <v>#N/A</v>
      </c>
      <c r="AN142" s="10" t="e">
        <f t="shared" ca="1" si="32"/>
        <v>#N/A</v>
      </c>
      <c r="AO142" s="10" t="e">
        <f t="shared" ca="1" si="33"/>
        <v>#N/A</v>
      </c>
      <c r="AP142" s="10" t="e">
        <f t="shared" si="34"/>
        <v>#N/A</v>
      </c>
      <c r="AQ142" s="10" t="e">
        <f t="shared" si="35"/>
        <v>#N/A</v>
      </c>
      <c r="AR142" s="10" t="e">
        <f t="shared" si="35"/>
        <v>#N/A</v>
      </c>
      <c r="BC142" s="29"/>
    </row>
    <row r="143" spans="2:55" x14ac:dyDescent="0.25">
      <c r="B143" s="41"/>
      <c r="C143" s="40"/>
      <c r="D143" s="63"/>
      <c r="E143" s="39"/>
      <c r="F143" s="60"/>
      <c r="G143" s="42" t="str">
        <f t="shared" si="41"/>
        <v/>
      </c>
      <c r="H143" s="45">
        <f t="shared" ca="1" si="36"/>
        <v>51</v>
      </c>
      <c r="I143" s="36">
        <f t="shared" ca="1" si="37"/>
        <v>0</v>
      </c>
      <c r="J143" s="36">
        <f t="shared" ca="1" si="38"/>
        <v>0</v>
      </c>
      <c r="L143" s="1">
        <f t="shared" ca="1" si="39"/>
        <v>0</v>
      </c>
      <c r="N143" s="21" t="str">
        <f t="shared" ca="1" si="47"/>
        <v/>
      </c>
      <c r="O143" s="22" t="str">
        <f t="shared" ca="1" si="47"/>
        <v/>
      </c>
      <c r="P143" s="22" t="str">
        <f t="shared" ca="1" si="47"/>
        <v/>
      </c>
      <c r="Q143" s="22" t="str">
        <f t="shared" ca="1" si="47"/>
        <v/>
      </c>
      <c r="R143" s="22" t="str">
        <f t="shared" ca="1" si="47"/>
        <v/>
      </c>
      <c r="S143" s="22" t="str">
        <f t="shared" ca="1" si="47"/>
        <v/>
      </c>
      <c r="T143" s="22" t="str">
        <f t="shared" ca="1" si="47"/>
        <v/>
      </c>
      <c r="U143" s="22" t="str">
        <f t="shared" ca="1" si="47"/>
        <v/>
      </c>
      <c r="V143" s="22" t="str">
        <f t="shared" ca="1" si="47"/>
        <v/>
      </c>
      <c r="W143" s="23" t="str">
        <f t="shared" ca="1" si="47"/>
        <v/>
      </c>
      <c r="Y143" s="21" t="str">
        <f t="shared" ref="Y143:AC193" ca="1" si="49">IFERROR(ABS(N143-N142),"")</f>
        <v/>
      </c>
      <c r="Z143" s="22" t="str">
        <f t="shared" ca="1" si="49"/>
        <v/>
      </c>
      <c r="AA143" s="22" t="str">
        <f t="shared" ca="1" si="49"/>
        <v/>
      </c>
      <c r="AB143" s="22" t="str">
        <f t="shared" ca="1" si="49"/>
        <v/>
      </c>
      <c r="AC143" s="22" t="str">
        <f t="shared" ca="1" si="49"/>
        <v/>
      </c>
      <c r="AD143" s="22" t="str">
        <f t="shared" ca="1" si="48"/>
        <v/>
      </c>
      <c r="AE143" s="22" t="str">
        <f t="shared" ca="1" si="48"/>
        <v/>
      </c>
      <c r="AF143" s="22" t="str">
        <f t="shared" ca="1" si="48"/>
        <v/>
      </c>
      <c r="AG143" s="22" t="str">
        <f t="shared" ca="1" si="48"/>
        <v/>
      </c>
      <c r="AH143" s="23" t="str">
        <f t="shared" ca="1" si="48"/>
        <v/>
      </c>
      <c r="AJ143" s="12" t="e">
        <f t="shared" si="28"/>
        <v>#N/A</v>
      </c>
      <c r="AK143" s="51" t="e">
        <f t="shared" si="29"/>
        <v>#N/A</v>
      </c>
      <c r="AL143" s="16" t="e">
        <f t="shared" si="30"/>
        <v>#N/A</v>
      </c>
      <c r="AM143" s="16" t="e">
        <f t="shared" si="31"/>
        <v>#N/A</v>
      </c>
      <c r="AN143" s="10" t="e">
        <f t="shared" ca="1" si="32"/>
        <v>#N/A</v>
      </c>
      <c r="AO143" s="10" t="e">
        <f t="shared" ca="1" si="33"/>
        <v>#N/A</v>
      </c>
      <c r="AP143" s="10" t="e">
        <f t="shared" si="34"/>
        <v>#N/A</v>
      </c>
      <c r="AQ143" s="10" t="e">
        <f t="shared" si="35"/>
        <v>#N/A</v>
      </c>
      <c r="AR143" s="10" t="e">
        <f t="shared" si="35"/>
        <v>#N/A</v>
      </c>
      <c r="BC143" s="29"/>
    </row>
    <row r="144" spans="2:55" x14ac:dyDescent="0.25">
      <c r="B144" s="41"/>
      <c r="C144" s="40"/>
      <c r="D144" s="63"/>
      <c r="E144" s="39"/>
      <c r="F144" s="60"/>
      <c r="G144" s="42" t="str">
        <f t="shared" si="41"/>
        <v/>
      </c>
      <c r="H144" s="45">
        <f t="shared" ca="1" si="36"/>
        <v>51</v>
      </c>
      <c r="I144" s="36">
        <f t="shared" ca="1" si="37"/>
        <v>0</v>
      </c>
      <c r="J144" s="36">
        <f t="shared" ca="1" si="38"/>
        <v>0</v>
      </c>
      <c r="L144" s="1">
        <f t="shared" ca="1" si="39"/>
        <v>0</v>
      </c>
      <c r="N144" s="21" t="str">
        <f t="shared" ca="1" si="47"/>
        <v/>
      </c>
      <c r="O144" s="22" t="str">
        <f t="shared" ca="1" si="47"/>
        <v/>
      </c>
      <c r="P144" s="22" t="str">
        <f t="shared" ca="1" si="47"/>
        <v/>
      </c>
      <c r="Q144" s="22" t="str">
        <f t="shared" ca="1" si="47"/>
        <v/>
      </c>
      <c r="R144" s="22" t="str">
        <f t="shared" ca="1" si="47"/>
        <v/>
      </c>
      <c r="S144" s="22" t="str">
        <f t="shared" ca="1" si="47"/>
        <v/>
      </c>
      <c r="T144" s="22" t="str">
        <f t="shared" ca="1" si="47"/>
        <v/>
      </c>
      <c r="U144" s="22" t="str">
        <f t="shared" ca="1" si="47"/>
        <v/>
      </c>
      <c r="V144" s="22" t="str">
        <f t="shared" ca="1" si="47"/>
        <v/>
      </c>
      <c r="W144" s="23" t="str">
        <f t="shared" ca="1" si="47"/>
        <v/>
      </c>
      <c r="Y144" s="21" t="str">
        <f t="shared" ca="1" si="49"/>
        <v/>
      </c>
      <c r="Z144" s="22" t="str">
        <f t="shared" ca="1" si="49"/>
        <v/>
      </c>
      <c r="AA144" s="22" t="str">
        <f t="shared" ca="1" si="49"/>
        <v/>
      </c>
      <c r="AB144" s="22" t="str">
        <f t="shared" ca="1" si="49"/>
        <v/>
      </c>
      <c r="AC144" s="22" t="str">
        <f t="shared" ca="1" si="49"/>
        <v/>
      </c>
      <c r="AD144" s="22" t="str">
        <f t="shared" ca="1" si="48"/>
        <v/>
      </c>
      <c r="AE144" s="22" t="str">
        <f t="shared" ca="1" si="48"/>
        <v/>
      </c>
      <c r="AF144" s="22" t="str">
        <f t="shared" ca="1" si="48"/>
        <v/>
      </c>
      <c r="AG144" s="22" t="str">
        <f t="shared" ca="1" si="48"/>
        <v/>
      </c>
      <c r="AH144" s="23" t="str">
        <f t="shared" ca="1" si="48"/>
        <v/>
      </c>
      <c r="AJ144" s="12" t="e">
        <f t="shared" si="28"/>
        <v>#N/A</v>
      </c>
      <c r="AK144" s="51" t="e">
        <f t="shared" si="29"/>
        <v>#N/A</v>
      </c>
      <c r="AL144" s="16" t="e">
        <f t="shared" si="30"/>
        <v>#N/A</v>
      </c>
      <c r="AM144" s="16" t="e">
        <f t="shared" si="31"/>
        <v>#N/A</v>
      </c>
      <c r="AN144" s="10" t="e">
        <f t="shared" ca="1" si="32"/>
        <v>#N/A</v>
      </c>
      <c r="AO144" s="10" t="e">
        <f t="shared" ca="1" si="33"/>
        <v>#N/A</v>
      </c>
      <c r="AP144" s="10" t="e">
        <f t="shared" si="34"/>
        <v>#N/A</v>
      </c>
      <c r="AQ144" s="10" t="e">
        <f t="shared" si="35"/>
        <v>#N/A</v>
      </c>
      <c r="AR144" s="10" t="e">
        <f t="shared" si="35"/>
        <v>#N/A</v>
      </c>
      <c r="BC144" s="29"/>
    </row>
    <row r="145" spans="2:55" x14ac:dyDescent="0.25">
      <c r="B145" s="41"/>
      <c r="C145" s="40"/>
      <c r="D145" s="63"/>
      <c r="E145" s="39"/>
      <c r="F145" s="60"/>
      <c r="G145" s="42" t="str">
        <f t="shared" si="41"/>
        <v/>
      </c>
      <c r="H145" s="45">
        <f t="shared" ca="1" si="36"/>
        <v>51</v>
      </c>
      <c r="I145" s="36">
        <f t="shared" ca="1" si="37"/>
        <v>0</v>
      </c>
      <c r="J145" s="36">
        <f t="shared" ca="1" si="38"/>
        <v>0</v>
      </c>
      <c r="L145" s="1">
        <f t="shared" ca="1" si="39"/>
        <v>0</v>
      </c>
      <c r="N145" s="21" t="str">
        <f t="shared" ca="1" si="47"/>
        <v/>
      </c>
      <c r="O145" s="22" t="str">
        <f t="shared" ca="1" si="47"/>
        <v/>
      </c>
      <c r="P145" s="22" t="str">
        <f t="shared" ca="1" si="47"/>
        <v/>
      </c>
      <c r="Q145" s="22" t="str">
        <f t="shared" ca="1" si="47"/>
        <v/>
      </c>
      <c r="R145" s="22" t="str">
        <f t="shared" ca="1" si="47"/>
        <v/>
      </c>
      <c r="S145" s="22" t="str">
        <f t="shared" ca="1" si="47"/>
        <v/>
      </c>
      <c r="T145" s="22" t="str">
        <f t="shared" ca="1" si="47"/>
        <v/>
      </c>
      <c r="U145" s="22" t="str">
        <f t="shared" ca="1" si="47"/>
        <v/>
      </c>
      <c r="V145" s="22" t="str">
        <f t="shared" ca="1" si="47"/>
        <v/>
      </c>
      <c r="W145" s="23" t="str">
        <f t="shared" ca="1" si="47"/>
        <v/>
      </c>
      <c r="Y145" s="21" t="str">
        <f t="shared" ca="1" si="49"/>
        <v/>
      </c>
      <c r="Z145" s="22" t="str">
        <f t="shared" ca="1" si="49"/>
        <v/>
      </c>
      <c r="AA145" s="22" t="str">
        <f t="shared" ca="1" si="49"/>
        <v/>
      </c>
      <c r="AB145" s="22" t="str">
        <f t="shared" ca="1" si="49"/>
        <v/>
      </c>
      <c r="AC145" s="22" t="str">
        <f t="shared" ca="1" si="49"/>
        <v/>
      </c>
      <c r="AD145" s="22" t="str">
        <f t="shared" ca="1" si="48"/>
        <v/>
      </c>
      <c r="AE145" s="22" t="str">
        <f t="shared" ca="1" si="48"/>
        <v/>
      </c>
      <c r="AF145" s="22" t="str">
        <f t="shared" ca="1" si="48"/>
        <v/>
      </c>
      <c r="AG145" s="22" t="str">
        <f t="shared" ca="1" si="48"/>
        <v/>
      </c>
      <c r="AH145" s="23" t="str">
        <f t="shared" ca="1" si="48"/>
        <v/>
      </c>
      <c r="AJ145" s="12" t="e">
        <f t="shared" si="28"/>
        <v>#N/A</v>
      </c>
      <c r="AK145" s="51" t="e">
        <f t="shared" si="29"/>
        <v>#N/A</v>
      </c>
      <c r="AL145" s="16" t="e">
        <f t="shared" si="30"/>
        <v>#N/A</v>
      </c>
      <c r="AM145" s="16" t="e">
        <f t="shared" si="31"/>
        <v>#N/A</v>
      </c>
      <c r="AN145" s="10" t="e">
        <f t="shared" ca="1" si="32"/>
        <v>#N/A</v>
      </c>
      <c r="AO145" s="10" t="e">
        <f t="shared" ca="1" si="33"/>
        <v>#N/A</v>
      </c>
      <c r="AP145" s="10" t="e">
        <f t="shared" si="34"/>
        <v>#N/A</v>
      </c>
      <c r="AQ145" s="10" t="e">
        <f t="shared" si="35"/>
        <v>#N/A</v>
      </c>
      <c r="AR145" s="10" t="e">
        <f t="shared" si="35"/>
        <v>#N/A</v>
      </c>
      <c r="BC145" s="29"/>
    </row>
    <row r="146" spans="2:55" x14ac:dyDescent="0.25">
      <c r="B146" s="41"/>
      <c r="C146" s="40"/>
      <c r="D146" s="63"/>
      <c r="E146" s="39"/>
      <c r="F146" s="60"/>
      <c r="G146" s="42" t="str">
        <f t="shared" si="41"/>
        <v/>
      </c>
      <c r="H146" s="45">
        <f t="shared" ca="1" si="36"/>
        <v>51</v>
      </c>
      <c r="I146" s="36">
        <f t="shared" ca="1" si="37"/>
        <v>0</v>
      </c>
      <c r="J146" s="36">
        <f t="shared" ca="1" si="38"/>
        <v>0</v>
      </c>
      <c r="L146" s="1">
        <f t="shared" ca="1" si="39"/>
        <v>0</v>
      </c>
      <c r="N146" s="21" t="str">
        <f t="shared" ca="1" si="47"/>
        <v/>
      </c>
      <c r="O146" s="22" t="str">
        <f t="shared" ca="1" si="47"/>
        <v/>
      </c>
      <c r="P146" s="22" t="str">
        <f t="shared" ca="1" si="47"/>
        <v/>
      </c>
      <c r="Q146" s="22" t="str">
        <f t="shared" ca="1" si="47"/>
        <v/>
      </c>
      <c r="R146" s="22" t="str">
        <f t="shared" ca="1" si="47"/>
        <v/>
      </c>
      <c r="S146" s="22" t="str">
        <f t="shared" ca="1" si="47"/>
        <v/>
      </c>
      <c r="T146" s="22" t="str">
        <f t="shared" ca="1" si="47"/>
        <v/>
      </c>
      <c r="U146" s="22" t="str">
        <f t="shared" ca="1" si="47"/>
        <v/>
      </c>
      <c r="V146" s="22" t="str">
        <f t="shared" ca="1" si="47"/>
        <v/>
      </c>
      <c r="W146" s="23" t="str">
        <f t="shared" ca="1" si="47"/>
        <v/>
      </c>
      <c r="Y146" s="21" t="str">
        <f t="shared" ca="1" si="49"/>
        <v/>
      </c>
      <c r="Z146" s="22" t="str">
        <f t="shared" ca="1" si="49"/>
        <v/>
      </c>
      <c r="AA146" s="22" t="str">
        <f t="shared" ca="1" si="49"/>
        <v/>
      </c>
      <c r="AB146" s="22" t="str">
        <f t="shared" ca="1" si="49"/>
        <v/>
      </c>
      <c r="AC146" s="22" t="str">
        <f t="shared" ca="1" si="49"/>
        <v/>
      </c>
      <c r="AD146" s="22" t="str">
        <f t="shared" ca="1" si="48"/>
        <v/>
      </c>
      <c r="AE146" s="22" t="str">
        <f t="shared" ca="1" si="48"/>
        <v/>
      </c>
      <c r="AF146" s="22" t="str">
        <f t="shared" ca="1" si="48"/>
        <v/>
      </c>
      <c r="AG146" s="22" t="str">
        <f t="shared" ca="1" si="48"/>
        <v/>
      </c>
      <c r="AH146" s="23" t="str">
        <f t="shared" ca="1" si="48"/>
        <v/>
      </c>
      <c r="AJ146" s="12" t="e">
        <f t="shared" si="28"/>
        <v>#N/A</v>
      </c>
      <c r="AK146" s="51" t="e">
        <f t="shared" si="29"/>
        <v>#N/A</v>
      </c>
      <c r="AL146" s="16" t="e">
        <f t="shared" si="30"/>
        <v>#N/A</v>
      </c>
      <c r="AM146" s="16" t="e">
        <f t="shared" si="31"/>
        <v>#N/A</v>
      </c>
      <c r="AN146" s="10" t="e">
        <f t="shared" ca="1" si="32"/>
        <v>#N/A</v>
      </c>
      <c r="AO146" s="10" t="e">
        <f t="shared" ca="1" si="33"/>
        <v>#N/A</v>
      </c>
      <c r="AP146" s="10" t="e">
        <f t="shared" si="34"/>
        <v>#N/A</v>
      </c>
      <c r="AQ146" s="10" t="e">
        <f t="shared" si="35"/>
        <v>#N/A</v>
      </c>
      <c r="AR146" s="10" t="e">
        <f t="shared" si="35"/>
        <v>#N/A</v>
      </c>
      <c r="BC146" s="29"/>
    </row>
    <row r="147" spans="2:55" x14ac:dyDescent="0.25">
      <c r="B147" s="41"/>
      <c r="C147" s="40"/>
      <c r="D147" s="63"/>
      <c r="E147" s="39"/>
      <c r="F147" s="60"/>
      <c r="G147" s="42" t="str">
        <f t="shared" si="41"/>
        <v/>
      </c>
      <c r="H147" s="45">
        <f t="shared" ca="1" si="36"/>
        <v>51</v>
      </c>
      <c r="I147" s="36">
        <f t="shared" ca="1" si="37"/>
        <v>0</v>
      </c>
      <c r="J147" s="36">
        <f t="shared" ca="1" si="38"/>
        <v>0</v>
      </c>
      <c r="L147" s="1">
        <f t="shared" ca="1" si="39"/>
        <v>0</v>
      </c>
      <c r="N147" s="21" t="str">
        <f t="shared" ca="1" si="47"/>
        <v/>
      </c>
      <c r="O147" s="22" t="str">
        <f t="shared" ca="1" si="47"/>
        <v/>
      </c>
      <c r="P147" s="22" t="str">
        <f t="shared" ca="1" si="47"/>
        <v/>
      </c>
      <c r="Q147" s="22" t="str">
        <f t="shared" ca="1" si="47"/>
        <v/>
      </c>
      <c r="R147" s="22" t="str">
        <f t="shared" ca="1" si="47"/>
        <v/>
      </c>
      <c r="S147" s="22" t="str">
        <f t="shared" ca="1" si="47"/>
        <v/>
      </c>
      <c r="T147" s="22" t="str">
        <f t="shared" ca="1" si="47"/>
        <v/>
      </c>
      <c r="U147" s="22" t="str">
        <f t="shared" ca="1" si="47"/>
        <v/>
      </c>
      <c r="V147" s="22" t="str">
        <f t="shared" ca="1" si="47"/>
        <v/>
      </c>
      <c r="W147" s="23" t="str">
        <f t="shared" ca="1" si="47"/>
        <v/>
      </c>
      <c r="Y147" s="21" t="str">
        <f t="shared" ca="1" si="49"/>
        <v/>
      </c>
      <c r="Z147" s="22" t="str">
        <f t="shared" ca="1" si="49"/>
        <v/>
      </c>
      <c r="AA147" s="22" t="str">
        <f t="shared" ca="1" si="49"/>
        <v/>
      </c>
      <c r="AB147" s="22" t="str">
        <f t="shared" ca="1" si="49"/>
        <v/>
      </c>
      <c r="AC147" s="22" t="str">
        <f t="shared" ca="1" si="49"/>
        <v/>
      </c>
      <c r="AD147" s="22" t="str">
        <f t="shared" ca="1" si="48"/>
        <v/>
      </c>
      <c r="AE147" s="22" t="str">
        <f t="shared" ca="1" si="48"/>
        <v/>
      </c>
      <c r="AF147" s="22" t="str">
        <f t="shared" ca="1" si="48"/>
        <v/>
      </c>
      <c r="AG147" s="22" t="str">
        <f t="shared" ca="1" si="48"/>
        <v/>
      </c>
      <c r="AH147" s="23" t="str">
        <f t="shared" ca="1" si="48"/>
        <v/>
      </c>
      <c r="AJ147" s="12" t="e">
        <f t="shared" si="28"/>
        <v>#N/A</v>
      </c>
      <c r="AK147" s="51" t="e">
        <f t="shared" si="29"/>
        <v>#N/A</v>
      </c>
      <c r="AL147" s="16" t="e">
        <f t="shared" si="30"/>
        <v>#N/A</v>
      </c>
      <c r="AM147" s="16" t="e">
        <f t="shared" si="31"/>
        <v>#N/A</v>
      </c>
      <c r="AN147" s="10" t="e">
        <f t="shared" ca="1" si="32"/>
        <v>#N/A</v>
      </c>
      <c r="AO147" s="10" t="e">
        <f t="shared" ca="1" si="33"/>
        <v>#N/A</v>
      </c>
      <c r="AP147" s="10" t="e">
        <f t="shared" si="34"/>
        <v>#N/A</v>
      </c>
      <c r="AQ147" s="10" t="e">
        <f t="shared" si="35"/>
        <v>#N/A</v>
      </c>
      <c r="AR147" s="10" t="e">
        <f t="shared" si="35"/>
        <v>#N/A</v>
      </c>
      <c r="BC147" s="29"/>
    </row>
    <row r="148" spans="2:55" x14ac:dyDescent="0.25">
      <c r="B148" s="41"/>
      <c r="C148" s="40"/>
      <c r="D148" s="63"/>
      <c r="E148" s="39"/>
      <c r="F148" s="60"/>
      <c r="G148" s="42" t="str">
        <f t="shared" si="41"/>
        <v/>
      </c>
      <c r="H148" s="45">
        <f t="shared" ca="1" si="36"/>
        <v>51</v>
      </c>
      <c r="I148" s="36">
        <f t="shared" ca="1" si="37"/>
        <v>0</v>
      </c>
      <c r="J148" s="36">
        <f t="shared" ca="1" si="38"/>
        <v>0</v>
      </c>
      <c r="L148" s="1">
        <f t="shared" ca="1" si="39"/>
        <v>0</v>
      </c>
      <c r="N148" s="21" t="str">
        <f t="shared" ca="1" si="47"/>
        <v/>
      </c>
      <c r="O148" s="22" t="str">
        <f t="shared" ca="1" si="47"/>
        <v/>
      </c>
      <c r="P148" s="22" t="str">
        <f t="shared" ca="1" si="47"/>
        <v/>
      </c>
      <c r="Q148" s="22" t="str">
        <f t="shared" ca="1" si="47"/>
        <v/>
      </c>
      <c r="R148" s="22" t="str">
        <f t="shared" ca="1" si="47"/>
        <v/>
      </c>
      <c r="S148" s="22" t="str">
        <f t="shared" ca="1" si="47"/>
        <v/>
      </c>
      <c r="T148" s="22" t="str">
        <f t="shared" ca="1" si="47"/>
        <v/>
      </c>
      <c r="U148" s="22" t="str">
        <f t="shared" ca="1" si="47"/>
        <v/>
      </c>
      <c r="V148" s="22" t="str">
        <f t="shared" ca="1" si="47"/>
        <v/>
      </c>
      <c r="W148" s="23" t="str">
        <f t="shared" ca="1" si="47"/>
        <v/>
      </c>
      <c r="Y148" s="21" t="str">
        <f t="shared" ca="1" si="49"/>
        <v/>
      </c>
      <c r="Z148" s="22" t="str">
        <f t="shared" ca="1" si="49"/>
        <v/>
      </c>
      <c r="AA148" s="22" t="str">
        <f t="shared" ca="1" si="49"/>
        <v/>
      </c>
      <c r="AB148" s="22" t="str">
        <f t="shared" ca="1" si="49"/>
        <v/>
      </c>
      <c r="AC148" s="22" t="str">
        <f t="shared" ca="1" si="49"/>
        <v/>
      </c>
      <c r="AD148" s="22" t="str">
        <f t="shared" ca="1" si="48"/>
        <v/>
      </c>
      <c r="AE148" s="22" t="str">
        <f t="shared" ca="1" si="48"/>
        <v/>
      </c>
      <c r="AF148" s="22" t="str">
        <f t="shared" ca="1" si="48"/>
        <v/>
      </c>
      <c r="AG148" s="22" t="str">
        <f t="shared" ca="1" si="48"/>
        <v/>
      </c>
      <c r="AH148" s="23" t="str">
        <f t="shared" ca="1" si="48"/>
        <v/>
      </c>
      <c r="AJ148" s="12" t="e">
        <f t="shared" si="28"/>
        <v>#N/A</v>
      </c>
      <c r="AK148" s="51" t="e">
        <f t="shared" si="29"/>
        <v>#N/A</v>
      </c>
      <c r="AL148" s="16" t="e">
        <f t="shared" si="30"/>
        <v>#N/A</v>
      </c>
      <c r="AM148" s="16" t="e">
        <f t="shared" si="31"/>
        <v>#N/A</v>
      </c>
      <c r="AN148" s="10" t="e">
        <f t="shared" ca="1" si="32"/>
        <v>#N/A</v>
      </c>
      <c r="AO148" s="10" t="e">
        <f t="shared" ca="1" si="33"/>
        <v>#N/A</v>
      </c>
      <c r="AP148" s="10" t="e">
        <f t="shared" si="34"/>
        <v>#N/A</v>
      </c>
      <c r="AQ148" s="10" t="e">
        <f t="shared" si="35"/>
        <v>#N/A</v>
      </c>
      <c r="AR148" s="10" t="e">
        <f t="shared" si="35"/>
        <v>#N/A</v>
      </c>
      <c r="BC148" s="29"/>
    </row>
    <row r="149" spans="2:55" x14ac:dyDescent="0.25">
      <c r="B149" s="41"/>
      <c r="C149" s="40"/>
      <c r="D149" s="63"/>
      <c r="E149" s="39"/>
      <c r="F149" s="60"/>
      <c r="G149" s="42" t="str">
        <f t="shared" si="41"/>
        <v/>
      </c>
      <c r="H149" s="45">
        <f t="shared" ca="1" si="36"/>
        <v>51</v>
      </c>
      <c r="I149" s="36">
        <f t="shared" ca="1" si="37"/>
        <v>0</v>
      </c>
      <c r="J149" s="36">
        <f t="shared" ca="1" si="38"/>
        <v>0</v>
      </c>
      <c r="L149" s="1">
        <f t="shared" ca="1" si="39"/>
        <v>0</v>
      </c>
      <c r="N149" s="21" t="str">
        <f t="shared" ca="1" si="47"/>
        <v/>
      </c>
      <c r="O149" s="22" t="str">
        <f t="shared" ca="1" si="47"/>
        <v/>
      </c>
      <c r="P149" s="22" t="str">
        <f t="shared" ca="1" si="47"/>
        <v/>
      </c>
      <c r="Q149" s="22" t="str">
        <f t="shared" ca="1" si="47"/>
        <v/>
      </c>
      <c r="R149" s="22" t="str">
        <f t="shared" ca="1" si="47"/>
        <v/>
      </c>
      <c r="S149" s="22" t="str">
        <f t="shared" ca="1" si="47"/>
        <v/>
      </c>
      <c r="T149" s="22" t="str">
        <f t="shared" ca="1" si="47"/>
        <v/>
      </c>
      <c r="U149" s="22" t="str">
        <f t="shared" ca="1" si="47"/>
        <v/>
      </c>
      <c r="V149" s="22" t="str">
        <f t="shared" ca="1" si="47"/>
        <v/>
      </c>
      <c r="W149" s="23" t="str">
        <f t="shared" ca="1" si="47"/>
        <v/>
      </c>
      <c r="Y149" s="21" t="str">
        <f t="shared" ca="1" si="49"/>
        <v/>
      </c>
      <c r="Z149" s="22" t="str">
        <f t="shared" ca="1" si="49"/>
        <v/>
      </c>
      <c r="AA149" s="22" t="str">
        <f t="shared" ca="1" si="49"/>
        <v/>
      </c>
      <c r="AB149" s="22" t="str">
        <f t="shared" ca="1" si="49"/>
        <v/>
      </c>
      <c r="AC149" s="22" t="str">
        <f t="shared" ca="1" si="49"/>
        <v/>
      </c>
      <c r="AD149" s="22" t="str">
        <f t="shared" ca="1" si="48"/>
        <v/>
      </c>
      <c r="AE149" s="22" t="str">
        <f t="shared" ca="1" si="48"/>
        <v/>
      </c>
      <c r="AF149" s="22" t="str">
        <f t="shared" ca="1" si="48"/>
        <v/>
      </c>
      <c r="AG149" s="22" t="str">
        <f t="shared" ca="1" si="48"/>
        <v/>
      </c>
      <c r="AH149" s="23" t="str">
        <f t="shared" ca="1" si="48"/>
        <v/>
      </c>
      <c r="AJ149" s="12" t="e">
        <f t="shared" si="28"/>
        <v>#N/A</v>
      </c>
      <c r="AK149" s="51" t="e">
        <f t="shared" si="29"/>
        <v>#N/A</v>
      </c>
      <c r="AL149" s="16" t="e">
        <f t="shared" si="30"/>
        <v>#N/A</v>
      </c>
      <c r="AM149" s="16" t="e">
        <f t="shared" si="31"/>
        <v>#N/A</v>
      </c>
      <c r="AN149" s="10" t="e">
        <f t="shared" ca="1" si="32"/>
        <v>#N/A</v>
      </c>
      <c r="AO149" s="10" t="e">
        <f t="shared" ca="1" si="33"/>
        <v>#N/A</v>
      </c>
      <c r="AP149" s="10" t="e">
        <f t="shared" si="34"/>
        <v>#N/A</v>
      </c>
      <c r="AQ149" s="10" t="e">
        <f t="shared" si="35"/>
        <v>#N/A</v>
      </c>
      <c r="AR149" s="10" t="e">
        <f t="shared" si="35"/>
        <v>#N/A</v>
      </c>
      <c r="BC149" s="29"/>
    </row>
    <row r="150" spans="2:55" x14ac:dyDescent="0.25">
      <c r="B150" s="41"/>
      <c r="C150" s="40"/>
      <c r="D150" s="63"/>
      <c r="E150" s="39"/>
      <c r="F150" s="60"/>
      <c r="G150" s="42" t="str">
        <f t="shared" si="41"/>
        <v/>
      </c>
      <c r="H150" s="45">
        <f t="shared" ca="1" si="36"/>
        <v>51</v>
      </c>
      <c r="I150" s="36">
        <f t="shared" ca="1" si="37"/>
        <v>0</v>
      </c>
      <c r="J150" s="36">
        <f t="shared" ca="1" si="38"/>
        <v>0</v>
      </c>
      <c r="L150" s="1">
        <f t="shared" ca="1" si="39"/>
        <v>0</v>
      </c>
      <c r="N150" s="21" t="str">
        <f t="shared" ca="1" si="47"/>
        <v/>
      </c>
      <c r="O150" s="22" t="str">
        <f t="shared" ca="1" si="47"/>
        <v/>
      </c>
      <c r="P150" s="22" t="str">
        <f t="shared" ca="1" si="47"/>
        <v/>
      </c>
      <c r="Q150" s="22" t="str">
        <f t="shared" ca="1" si="47"/>
        <v/>
      </c>
      <c r="R150" s="22" t="str">
        <f t="shared" ca="1" si="47"/>
        <v/>
      </c>
      <c r="S150" s="22" t="str">
        <f t="shared" ca="1" si="47"/>
        <v/>
      </c>
      <c r="T150" s="22" t="str">
        <f t="shared" ca="1" si="47"/>
        <v/>
      </c>
      <c r="U150" s="22" t="str">
        <f t="shared" ca="1" si="47"/>
        <v/>
      </c>
      <c r="V150" s="22" t="str">
        <f t="shared" ca="1" si="47"/>
        <v/>
      </c>
      <c r="W150" s="23" t="str">
        <f t="shared" ca="1" si="47"/>
        <v/>
      </c>
      <c r="Y150" s="21" t="str">
        <f t="shared" ca="1" si="49"/>
        <v/>
      </c>
      <c r="Z150" s="22" t="str">
        <f t="shared" ca="1" si="49"/>
        <v/>
      </c>
      <c r="AA150" s="22" t="str">
        <f t="shared" ca="1" si="49"/>
        <v/>
      </c>
      <c r="AB150" s="22" t="str">
        <f t="shared" ca="1" si="49"/>
        <v/>
      </c>
      <c r="AC150" s="22" t="str">
        <f t="shared" ca="1" si="49"/>
        <v/>
      </c>
      <c r="AD150" s="22" t="str">
        <f t="shared" ca="1" si="48"/>
        <v/>
      </c>
      <c r="AE150" s="22" t="str">
        <f t="shared" ca="1" si="48"/>
        <v/>
      </c>
      <c r="AF150" s="22" t="str">
        <f t="shared" ca="1" si="48"/>
        <v/>
      </c>
      <c r="AG150" s="22" t="str">
        <f t="shared" ca="1" si="48"/>
        <v/>
      </c>
      <c r="AH150" s="23" t="str">
        <f t="shared" ca="1" si="48"/>
        <v/>
      </c>
      <c r="AJ150" s="12" t="e">
        <f t="shared" si="28"/>
        <v>#N/A</v>
      </c>
      <c r="AK150" s="51" t="e">
        <f t="shared" si="29"/>
        <v>#N/A</v>
      </c>
      <c r="AL150" s="16" t="e">
        <f t="shared" si="30"/>
        <v>#N/A</v>
      </c>
      <c r="AM150" s="16" t="e">
        <f t="shared" si="31"/>
        <v>#N/A</v>
      </c>
      <c r="AN150" s="10" t="e">
        <f t="shared" ca="1" si="32"/>
        <v>#N/A</v>
      </c>
      <c r="AO150" s="10" t="e">
        <f t="shared" ca="1" si="33"/>
        <v>#N/A</v>
      </c>
      <c r="AP150" s="10" t="e">
        <f t="shared" si="34"/>
        <v>#N/A</v>
      </c>
      <c r="AQ150" s="10" t="e">
        <f t="shared" si="35"/>
        <v>#N/A</v>
      </c>
      <c r="AR150" s="10" t="e">
        <f t="shared" si="35"/>
        <v>#N/A</v>
      </c>
      <c r="BC150" s="29"/>
    </row>
    <row r="151" spans="2:55" x14ac:dyDescent="0.25">
      <c r="B151" s="41"/>
      <c r="C151" s="40"/>
      <c r="D151" s="63"/>
      <c r="E151" s="39"/>
      <c r="F151" s="60"/>
      <c r="G151" s="42" t="str">
        <f t="shared" si="41"/>
        <v/>
      </c>
      <c r="H151" s="45">
        <f t="shared" ca="1" si="36"/>
        <v>51</v>
      </c>
      <c r="I151" s="36">
        <f t="shared" ca="1" si="37"/>
        <v>0</v>
      </c>
      <c r="J151" s="36">
        <f t="shared" ca="1" si="38"/>
        <v>0</v>
      </c>
      <c r="L151" s="1">
        <f t="shared" ca="1" si="39"/>
        <v>0</v>
      </c>
      <c r="N151" s="21" t="str">
        <f t="shared" ca="1" si="47"/>
        <v/>
      </c>
      <c r="O151" s="22" t="str">
        <f t="shared" ca="1" si="47"/>
        <v/>
      </c>
      <c r="P151" s="22" t="str">
        <f t="shared" ca="1" si="47"/>
        <v/>
      </c>
      <c r="Q151" s="22" t="str">
        <f t="shared" ca="1" si="47"/>
        <v/>
      </c>
      <c r="R151" s="22" t="str">
        <f t="shared" ca="1" si="47"/>
        <v/>
      </c>
      <c r="S151" s="22" t="str">
        <f t="shared" ca="1" si="47"/>
        <v/>
      </c>
      <c r="T151" s="22" t="str">
        <f t="shared" ca="1" si="47"/>
        <v/>
      </c>
      <c r="U151" s="22" t="str">
        <f t="shared" ca="1" si="47"/>
        <v/>
      </c>
      <c r="V151" s="22" t="str">
        <f t="shared" ca="1" si="47"/>
        <v/>
      </c>
      <c r="W151" s="23" t="str">
        <f t="shared" ca="1" si="47"/>
        <v/>
      </c>
      <c r="Y151" s="21" t="str">
        <f t="shared" ca="1" si="49"/>
        <v/>
      </c>
      <c r="Z151" s="22" t="str">
        <f t="shared" ca="1" si="49"/>
        <v/>
      </c>
      <c r="AA151" s="22" t="str">
        <f t="shared" ca="1" si="49"/>
        <v/>
      </c>
      <c r="AB151" s="22" t="str">
        <f t="shared" ca="1" si="49"/>
        <v/>
      </c>
      <c r="AC151" s="22" t="str">
        <f t="shared" ca="1" si="49"/>
        <v/>
      </c>
      <c r="AD151" s="22" t="str">
        <f t="shared" ca="1" si="48"/>
        <v/>
      </c>
      <c r="AE151" s="22" t="str">
        <f t="shared" ca="1" si="48"/>
        <v/>
      </c>
      <c r="AF151" s="22" t="str">
        <f t="shared" ca="1" si="48"/>
        <v/>
      </c>
      <c r="AG151" s="22" t="str">
        <f t="shared" ca="1" si="48"/>
        <v/>
      </c>
      <c r="AH151" s="23" t="str">
        <f t="shared" ca="1" si="48"/>
        <v/>
      </c>
      <c r="AJ151" s="12" t="e">
        <f t="shared" si="28"/>
        <v>#N/A</v>
      </c>
      <c r="AK151" s="51" t="e">
        <f t="shared" si="29"/>
        <v>#N/A</v>
      </c>
      <c r="AL151" s="16" t="e">
        <f t="shared" si="30"/>
        <v>#N/A</v>
      </c>
      <c r="AM151" s="16" t="e">
        <f t="shared" si="31"/>
        <v>#N/A</v>
      </c>
      <c r="AN151" s="10" t="e">
        <f t="shared" ca="1" si="32"/>
        <v>#N/A</v>
      </c>
      <c r="AO151" s="10" t="e">
        <f t="shared" ca="1" si="33"/>
        <v>#N/A</v>
      </c>
      <c r="AP151" s="10" t="e">
        <f t="shared" si="34"/>
        <v>#N/A</v>
      </c>
      <c r="AQ151" s="10" t="e">
        <f t="shared" si="35"/>
        <v>#N/A</v>
      </c>
      <c r="AR151" s="10" t="e">
        <f t="shared" si="35"/>
        <v>#N/A</v>
      </c>
      <c r="BC151" s="29"/>
    </row>
    <row r="152" spans="2:55" x14ac:dyDescent="0.25">
      <c r="B152" s="41"/>
      <c r="C152" s="40"/>
      <c r="D152" s="63"/>
      <c r="E152" s="39"/>
      <c r="F152" s="60"/>
      <c r="G152" s="42" t="str">
        <f t="shared" si="41"/>
        <v/>
      </c>
      <c r="H152" s="45">
        <f t="shared" ca="1" si="36"/>
        <v>51</v>
      </c>
      <c r="I152" s="36">
        <f t="shared" ca="1" si="37"/>
        <v>0</v>
      </c>
      <c r="J152" s="36">
        <f t="shared" ca="1" si="38"/>
        <v>0</v>
      </c>
      <c r="L152" s="1">
        <f t="shared" ca="1" si="39"/>
        <v>0</v>
      </c>
      <c r="N152" s="21" t="str">
        <f t="shared" ca="1" si="47"/>
        <v/>
      </c>
      <c r="O152" s="22" t="str">
        <f t="shared" ca="1" si="47"/>
        <v/>
      </c>
      <c r="P152" s="22" t="str">
        <f t="shared" ca="1" si="47"/>
        <v/>
      </c>
      <c r="Q152" s="22" t="str">
        <f t="shared" ca="1" si="47"/>
        <v/>
      </c>
      <c r="R152" s="22" t="str">
        <f t="shared" ca="1" si="47"/>
        <v/>
      </c>
      <c r="S152" s="22" t="str">
        <f t="shared" ca="1" si="47"/>
        <v/>
      </c>
      <c r="T152" s="22" t="str">
        <f t="shared" ca="1" si="47"/>
        <v/>
      </c>
      <c r="U152" s="22" t="str">
        <f t="shared" ca="1" si="47"/>
        <v/>
      </c>
      <c r="V152" s="22" t="str">
        <f t="shared" ca="1" si="47"/>
        <v/>
      </c>
      <c r="W152" s="23" t="str">
        <f t="shared" ca="1" si="47"/>
        <v/>
      </c>
      <c r="Y152" s="21" t="str">
        <f t="shared" ca="1" si="49"/>
        <v/>
      </c>
      <c r="Z152" s="22" t="str">
        <f t="shared" ca="1" si="49"/>
        <v/>
      </c>
      <c r="AA152" s="22" t="str">
        <f t="shared" ca="1" si="49"/>
        <v/>
      </c>
      <c r="AB152" s="22" t="str">
        <f t="shared" ca="1" si="49"/>
        <v/>
      </c>
      <c r="AC152" s="22" t="str">
        <f t="shared" ca="1" si="49"/>
        <v/>
      </c>
      <c r="AD152" s="22" t="str">
        <f t="shared" ca="1" si="48"/>
        <v/>
      </c>
      <c r="AE152" s="22" t="str">
        <f t="shared" ca="1" si="48"/>
        <v/>
      </c>
      <c r="AF152" s="22" t="str">
        <f t="shared" ca="1" si="48"/>
        <v/>
      </c>
      <c r="AG152" s="22" t="str">
        <f t="shared" ca="1" si="48"/>
        <v/>
      </c>
      <c r="AH152" s="23" t="str">
        <f t="shared" ca="1" si="48"/>
        <v/>
      </c>
      <c r="AJ152" s="12" t="e">
        <f t="shared" si="28"/>
        <v>#N/A</v>
      </c>
      <c r="AK152" s="51" t="e">
        <f t="shared" si="29"/>
        <v>#N/A</v>
      </c>
      <c r="AL152" s="16" t="e">
        <f t="shared" si="30"/>
        <v>#N/A</v>
      </c>
      <c r="AM152" s="16" t="e">
        <f t="shared" si="31"/>
        <v>#N/A</v>
      </c>
      <c r="AN152" s="10" t="e">
        <f t="shared" ca="1" si="32"/>
        <v>#N/A</v>
      </c>
      <c r="AO152" s="10" t="e">
        <f t="shared" ca="1" si="33"/>
        <v>#N/A</v>
      </c>
      <c r="AP152" s="10" t="e">
        <f t="shared" si="34"/>
        <v>#N/A</v>
      </c>
      <c r="AQ152" s="10" t="e">
        <f t="shared" si="35"/>
        <v>#N/A</v>
      </c>
      <c r="AR152" s="10" t="e">
        <f t="shared" si="35"/>
        <v>#N/A</v>
      </c>
      <c r="BC152" s="29"/>
    </row>
    <row r="153" spans="2:55" x14ac:dyDescent="0.25">
      <c r="B153" s="41"/>
      <c r="C153" s="40"/>
      <c r="D153" s="63"/>
      <c r="E153" s="39"/>
      <c r="F153" s="60"/>
      <c r="G153" s="42" t="str">
        <f t="shared" si="41"/>
        <v/>
      </c>
      <c r="H153" s="45">
        <f t="shared" ca="1" si="36"/>
        <v>51</v>
      </c>
      <c r="I153" s="36">
        <f t="shared" ca="1" si="37"/>
        <v>0</v>
      </c>
      <c r="J153" s="36">
        <f t="shared" ca="1" si="38"/>
        <v>0</v>
      </c>
      <c r="L153" s="1">
        <f t="shared" ca="1" si="39"/>
        <v>0</v>
      </c>
      <c r="N153" s="21" t="str">
        <f t="shared" ca="1" si="47"/>
        <v/>
      </c>
      <c r="O153" s="22" t="str">
        <f t="shared" ca="1" si="47"/>
        <v/>
      </c>
      <c r="P153" s="22" t="str">
        <f t="shared" ca="1" si="47"/>
        <v/>
      </c>
      <c r="Q153" s="22" t="str">
        <f t="shared" ca="1" si="47"/>
        <v/>
      </c>
      <c r="R153" s="22" t="str">
        <f t="shared" ca="1" si="47"/>
        <v/>
      </c>
      <c r="S153" s="22" t="str">
        <f t="shared" ca="1" si="47"/>
        <v/>
      </c>
      <c r="T153" s="22" t="str">
        <f t="shared" ca="1" si="47"/>
        <v/>
      </c>
      <c r="U153" s="22" t="str">
        <f t="shared" ca="1" si="47"/>
        <v/>
      </c>
      <c r="V153" s="22" t="str">
        <f t="shared" ca="1" si="47"/>
        <v/>
      </c>
      <c r="W153" s="23" t="str">
        <f t="shared" ca="1" si="47"/>
        <v/>
      </c>
      <c r="Y153" s="21" t="str">
        <f t="shared" ca="1" si="49"/>
        <v/>
      </c>
      <c r="Z153" s="22" t="str">
        <f t="shared" ca="1" si="49"/>
        <v/>
      </c>
      <c r="AA153" s="22" t="str">
        <f t="shared" ca="1" si="49"/>
        <v/>
      </c>
      <c r="AB153" s="22" t="str">
        <f t="shared" ca="1" si="49"/>
        <v/>
      </c>
      <c r="AC153" s="22" t="str">
        <f t="shared" ca="1" si="49"/>
        <v/>
      </c>
      <c r="AD153" s="22" t="str">
        <f t="shared" ca="1" si="48"/>
        <v/>
      </c>
      <c r="AE153" s="22" t="str">
        <f t="shared" ca="1" si="48"/>
        <v/>
      </c>
      <c r="AF153" s="22" t="str">
        <f t="shared" ca="1" si="48"/>
        <v/>
      </c>
      <c r="AG153" s="22" t="str">
        <f t="shared" ca="1" si="48"/>
        <v/>
      </c>
      <c r="AH153" s="23" t="str">
        <f t="shared" ca="1" si="48"/>
        <v/>
      </c>
      <c r="AJ153" s="12" t="e">
        <f t="shared" si="28"/>
        <v>#N/A</v>
      </c>
      <c r="AK153" s="51" t="e">
        <f t="shared" si="29"/>
        <v>#N/A</v>
      </c>
      <c r="AL153" s="16" t="e">
        <f t="shared" si="30"/>
        <v>#N/A</v>
      </c>
      <c r="AM153" s="16" t="e">
        <f t="shared" si="31"/>
        <v>#N/A</v>
      </c>
      <c r="AN153" s="10" t="e">
        <f t="shared" ca="1" si="32"/>
        <v>#N/A</v>
      </c>
      <c r="AO153" s="10" t="e">
        <f t="shared" ca="1" si="33"/>
        <v>#N/A</v>
      </c>
      <c r="AP153" s="10" t="e">
        <f t="shared" si="34"/>
        <v>#N/A</v>
      </c>
      <c r="AQ153" s="10" t="e">
        <f t="shared" si="35"/>
        <v>#N/A</v>
      </c>
      <c r="AR153" s="10" t="e">
        <f t="shared" si="35"/>
        <v>#N/A</v>
      </c>
      <c r="BC153" s="29"/>
    </row>
    <row r="154" spans="2:55" x14ac:dyDescent="0.25">
      <c r="B154" s="41"/>
      <c r="C154" s="40"/>
      <c r="D154" s="63"/>
      <c r="E154" s="39"/>
      <c r="F154" s="60"/>
      <c r="G154" s="42" t="str">
        <f t="shared" si="41"/>
        <v/>
      </c>
      <c r="H154" s="45">
        <f t="shared" ca="1" si="36"/>
        <v>51</v>
      </c>
      <c r="I154" s="36">
        <f t="shared" ca="1" si="37"/>
        <v>0</v>
      </c>
      <c r="J154" s="36">
        <f t="shared" ca="1" si="38"/>
        <v>0</v>
      </c>
      <c r="L154" s="1">
        <f t="shared" ca="1" si="39"/>
        <v>0</v>
      </c>
      <c r="N154" s="21" t="str">
        <f t="shared" ca="1" si="47"/>
        <v/>
      </c>
      <c r="O154" s="22" t="str">
        <f t="shared" ca="1" si="47"/>
        <v/>
      </c>
      <c r="P154" s="22" t="str">
        <f t="shared" ca="1" si="47"/>
        <v/>
      </c>
      <c r="Q154" s="22" t="str">
        <f t="shared" ca="1" si="47"/>
        <v/>
      </c>
      <c r="R154" s="22" t="str">
        <f t="shared" ca="1" si="47"/>
        <v/>
      </c>
      <c r="S154" s="22" t="str">
        <f t="shared" ca="1" si="47"/>
        <v/>
      </c>
      <c r="T154" s="22" t="str">
        <f t="shared" ca="1" si="47"/>
        <v/>
      </c>
      <c r="U154" s="22" t="str">
        <f t="shared" ca="1" si="47"/>
        <v/>
      </c>
      <c r="V154" s="22" t="str">
        <f t="shared" ca="1" si="47"/>
        <v/>
      </c>
      <c r="W154" s="23" t="str">
        <f t="shared" ca="1" si="47"/>
        <v/>
      </c>
      <c r="Y154" s="21" t="str">
        <f t="shared" ca="1" si="49"/>
        <v/>
      </c>
      <c r="Z154" s="22" t="str">
        <f t="shared" ca="1" si="49"/>
        <v/>
      </c>
      <c r="AA154" s="22" t="str">
        <f t="shared" ca="1" si="49"/>
        <v/>
      </c>
      <c r="AB154" s="22" t="str">
        <f t="shared" ca="1" si="49"/>
        <v/>
      </c>
      <c r="AC154" s="22" t="str">
        <f t="shared" ca="1" si="49"/>
        <v/>
      </c>
      <c r="AD154" s="22" t="str">
        <f t="shared" ca="1" si="48"/>
        <v/>
      </c>
      <c r="AE154" s="22" t="str">
        <f t="shared" ca="1" si="48"/>
        <v/>
      </c>
      <c r="AF154" s="22" t="str">
        <f t="shared" ca="1" si="48"/>
        <v/>
      </c>
      <c r="AG154" s="22" t="str">
        <f t="shared" ca="1" si="48"/>
        <v/>
      </c>
      <c r="AH154" s="23" t="str">
        <f t="shared" ca="1" si="48"/>
        <v/>
      </c>
      <c r="AJ154" s="12" t="e">
        <f t="shared" ref="AJ154:AJ217" si="50">IF(ISBLANK(C154),NA(),VLOOKUP(L154,values,2,0))</f>
        <v>#N/A</v>
      </c>
      <c r="AK154" s="51" t="e">
        <f t="shared" ref="AK154:AK217" si="51">IF(ISBLANK(C154),NA(),INDEX($AV$26:$BA$35,MATCH(L154,$AT$26:$AT$35,0),MATCH($D$11,$AV$25:$BA$25,0)))</f>
        <v>#N/A</v>
      </c>
      <c r="AL154" s="16" t="e">
        <f t="shared" ref="AL154:AL217" si="52">IF(ISBLANK(C154),NA(),AJ154+AK154)</f>
        <v>#N/A</v>
      </c>
      <c r="AM154" s="16" t="e">
        <f t="shared" ref="AM154:AM217" si="53">IF(ISBLANK(C154),NA(),AJ154-AK154)</f>
        <v>#N/A</v>
      </c>
      <c r="AN154" s="10" t="e">
        <f t="shared" ref="AN154:AN217" ca="1" si="54">IF(SUM(I147:I154)&gt;0,C154,NA())</f>
        <v>#N/A</v>
      </c>
      <c r="AO154" s="10" t="e">
        <f t="shared" ref="AO154:AO217" ca="1" si="55">IF(SUM(J149:J154)&gt;0,C154,NA())</f>
        <v>#N/A</v>
      </c>
      <c r="AP154" s="10" t="e">
        <f t="shared" ref="AP154:AP217" si="56">IF(C154&lt;AM154,C154,IF(C154&gt;AL154,C154,NA()))</f>
        <v>#N/A</v>
      </c>
      <c r="AQ154" s="10" t="e">
        <f t="shared" ref="AQ154:AR217" si="57">IF(ISBLANK(D154),NA(),D154)</f>
        <v>#N/A</v>
      </c>
      <c r="AR154" s="10" t="e">
        <f t="shared" si="57"/>
        <v>#N/A</v>
      </c>
      <c r="BC154" s="29"/>
    </row>
    <row r="155" spans="2:55" x14ac:dyDescent="0.25">
      <c r="B155" s="41"/>
      <c r="C155" s="40"/>
      <c r="D155" s="63"/>
      <c r="E155" s="39"/>
      <c r="F155" s="60"/>
      <c r="G155" s="42" t="str">
        <f t="shared" si="41"/>
        <v/>
      </c>
      <c r="H155" s="45">
        <f t="shared" ref="H155:H218" ca="1" si="58">IF(G155&gt;$C$9,
    IF(I155&lt;&gt;1,
      H154,
      IF(OR($D$7&gt;=1,IF(F155="Change",1,0)=1),
        SUMIFS($C:$C,$G:$G,"&lt;"&amp;G155+$C$13,$G:$G,"&gt;="&amp;G155,$C:$C,"&lt;&gt;")/COUNTIFS($G:$G,"&lt;"&amp;G155+$C$13,$G:$G,"&gt;="&amp;G155,$C:$C,"&lt;&gt;"),
        SUMIFS($C:$C,$G:$G,"&lt;"&amp;$C$9,$C:$C,"&lt;&gt;")/COUNTIFS($G:$G,"&lt;"&amp;$C$9,$C:$C,"&lt;&gt;")
      )
    ),
    SUMIFS($C:$C,$G:$G,"&lt;"&amp;$C$9,$C:$C,"&lt;&gt;")/COUNTIFS($G:$G,"&lt;"&amp;$C$9,$C:$C,"&lt;&gt;")
)</f>
        <v>51</v>
      </c>
      <c r="I155" s="36">
        <f t="shared" ref="I155:I218" ca="1" si="59">IF(G155&gt;$C$9,IF(SUM(I147:I154)&gt;=1,0,IF(OR(ISBLANK(C162),ISNUMBER($C162)=FALSE,SUM(I147:J154)&gt;=1),0,IF(OR(AND(C155&gt;H154,C156&gt;H154,C157&gt;H154,C158&gt;H154,C159&gt;H154,C160&gt;H154,C161&gt;H154,C162&gt;H154),AND(C155&lt;H154,C156&lt;H154,C157&lt;H154,C158&lt;H154,C159&lt;H154,C160&lt;H154,C161&lt;H154,C162&lt;H154)),1,0))),0)</f>
        <v>0</v>
      </c>
      <c r="J155" s="36">
        <f t="shared" ref="J155:J218" ca="1" si="60">IF(G155&gt;$C$9,IF(OR(ISBLANK(C160),ISNUMBER($C162)=FALSE,SUM(I147:J154)&gt;=1),0,IF(SUM(J147:J154)&gt;=1,0,IF(OR(AND(C154&gt;C155,C155&gt;C156,C156&gt;C157,C157&gt;C158,C158&gt;C159,C159&gt;C160),AND(C154&lt;C155,C155&lt;C156,C156&lt;C157,C157&lt;C158,C158&lt;C159,C159&lt;C160)),1,0))),0)</f>
        <v>0</v>
      </c>
      <c r="L155" s="1">
        <f t="shared" ref="L155:L218" ca="1" si="61">IF(L154="Period",1,IF($D$7=1,IF(ISBLANK(C155),0,(IF(I155=1,L154+I155,IF(AND(I155=1,J155=1),L154+I155,L154+J155)))),IF($D$7=2,L154+IF(F155="Change",1,0),1)))</f>
        <v>0</v>
      </c>
      <c r="N155" s="21" t="str">
        <f t="shared" ref="N155:W170" ca="1" si="62">IF(ISNUMBER($C155),IF($G155&lt;=$C$9,IF($L155=N$25,$C155,""),IF(COUNT(INDIRECT(ADDRESS(ROW(N$26),COLUMN())&amp;":"&amp;ADDRESS(ROW()-1,COLUMN())))&gt;$C$13,"",IF($L155=N$25,$C155,""))),"")</f>
        <v/>
      </c>
      <c r="O155" s="22" t="str">
        <f t="shared" ca="1" si="62"/>
        <v/>
      </c>
      <c r="P155" s="22" t="str">
        <f t="shared" ca="1" si="62"/>
        <v/>
      </c>
      <c r="Q155" s="22" t="str">
        <f t="shared" ca="1" si="62"/>
        <v/>
      </c>
      <c r="R155" s="22" t="str">
        <f t="shared" ca="1" si="62"/>
        <v/>
      </c>
      <c r="S155" s="22" t="str">
        <f t="shared" ca="1" si="62"/>
        <v/>
      </c>
      <c r="T155" s="22" t="str">
        <f t="shared" ca="1" si="62"/>
        <v/>
      </c>
      <c r="U155" s="22" t="str">
        <f t="shared" ca="1" si="62"/>
        <v/>
      </c>
      <c r="V155" s="22" t="str">
        <f t="shared" ca="1" si="62"/>
        <v/>
      </c>
      <c r="W155" s="23" t="str">
        <f t="shared" ca="1" si="62"/>
        <v/>
      </c>
      <c r="Y155" s="21" t="str">
        <f t="shared" ca="1" si="49"/>
        <v/>
      </c>
      <c r="Z155" s="22" t="str">
        <f t="shared" ca="1" si="49"/>
        <v/>
      </c>
      <c r="AA155" s="22" t="str">
        <f t="shared" ca="1" si="49"/>
        <v/>
      </c>
      <c r="AB155" s="22" t="str">
        <f t="shared" ca="1" si="49"/>
        <v/>
      </c>
      <c r="AC155" s="22" t="str">
        <f t="shared" ca="1" si="49"/>
        <v/>
      </c>
      <c r="AD155" s="22" t="str">
        <f t="shared" ca="1" si="48"/>
        <v/>
      </c>
      <c r="AE155" s="22" t="str">
        <f t="shared" ca="1" si="48"/>
        <v/>
      </c>
      <c r="AF155" s="22" t="str">
        <f t="shared" ca="1" si="48"/>
        <v/>
      </c>
      <c r="AG155" s="22" t="str">
        <f t="shared" ca="1" si="48"/>
        <v/>
      </c>
      <c r="AH155" s="23" t="str">
        <f t="shared" ca="1" si="48"/>
        <v/>
      </c>
      <c r="AJ155" s="12" t="e">
        <f t="shared" si="50"/>
        <v>#N/A</v>
      </c>
      <c r="AK155" s="51" t="e">
        <f t="shared" si="51"/>
        <v>#N/A</v>
      </c>
      <c r="AL155" s="16" t="e">
        <f t="shared" si="52"/>
        <v>#N/A</v>
      </c>
      <c r="AM155" s="16" t="e">
        <f t="shared" si="53"/>
        <v>#N/A</v>
      </c>
      <c r="AN155" s="10" t="e">
        <f t="shared" ca="1" si="54"/>
        <v>#N/A</v>
      </c>
      <c r="AO155" s="10" t="e">
        <f t="shared" ca="1" si="55"/>
        <v>#N/A</v>
      </c>
      <c r="AP155" s="10" t="e">
        <f t="shared" si="56"/>
        <v>#N/A</v>
      </c>
      <c r="AQ155" s="10" t="e">
        <f t="shared" si="57"/>
        <v>#N/A</v>
      </c>
      <c r="AR155" s="10" t="e">
        <f t="shared" si="57"/>
        <v>#N/A</v>
      </c>
      <c r="BC155" s="29"/>
    </row>
    <row r="156" spans="2:55" x14ac:dyDescent="0.25">
      <c r="B156" s="41"/>
      <c r="C156" s="40"/>
      <c r="D156" s="63"/>
      <c r="E156" s="39"/>
      <c r="F156" s="60"/>
      <c r="G156" s="42" t="str">
        <f t="shared" ref="G156:G219" si="63">IF(ISNUMBER(C156),G155+1,"")</f>
        <v/>
      </c>
      <c r="H156" s="45">
        <f t="shared" ca="1" si="58"/>
        <v>51</v>
      </c>
      <c r="I156" s="36">
        <f t="shared" ca="1" si="59"/>
        <v>0</v>
      </c>
      <c r="J156" s="36">
        <f t="shared" ca="1" si="60"/>
        <v>0</v>
      </c>
      <c r="L156" s="1">
        <f t="shared" ca="1" si="61"/>
        <v>0</v>
      </c>
      <c r="N156" s="21" t="str">
        <f t="shared" ca="1" si="62"/>
        <v/>
      </c>
      <c r="O156" s="22" t="str">
        <f t="shared" ca="1" si="62"/>
        <v/>
      </c>
      <c r="P156" s="22" t="str">
        <f t="shared" ca="1" si="62"/>
        <v/>
      </c>
      <c r="Q156" s="22" t="str">
        <f t="shared" ca="1" si="62"/>
        <v/>
      </c>
      <c r="R156" s="22" t="str">
        <f t="shared" ca="1" si="62"/>
        <v/>
      </c>
      <c r="S156" s="22" t="str">
        <f t="shared" ca="1" si="62"/>
        <v/>
      </c>
      <c r="T156" s="22" t="str">
        <f t="shared" ca="1" si="62"/>
        <v/>
      </c>
      <c r="U156" s="22" t="str">
        <f t="shared" ca="1" si="62"/>
        <v/>
      </c>
      <c r="V156" s="22" t="str">
        <f t="shared" ca="1" si="62"/>
        <v/>
      </c>
      <c r="W156" s="23" t="str">
        <f t="shared" ca="1" si="62"/>
        <v/>
      </c>
      <c r="Y156" s="21" t="str">
        <f t="shared" ca="1" si="49"/>
        <v/>
      </c>
      <c r="Z156" s="22" t="str">
        <f t="shared" ca="1" si="49"/>
        <v/>
      </c>
      <c r="AA156" s="22" t="str">
        <f t="shared" ca="1" si="49"/>
        <v/>
      </c>
      <c r="AB156" s="22" t="str">
        <f t="shared" ca="1" si="49"/>
        <v/>
      </c>
      <c r="AC156" s="22" t="str">
        <f t="shared" ca="1" si="49"/>
        <v/>
      </c>
      <c r="AD156" s="22" t="str">
        <f t="shared" ca="1" si="48"/>
        <v/>
      </c>
      <c r="AE156" s="22" t="str">
        <f t="shared" ca="1" si="48"/>
        <v/>
      </c>
      <c r="AF156" s="22" t="str">
        <f t="shared" ca="1" si="48"/>
        <v/>
      </c>
      <c r="AG156" s="22" t="str">
        <f t="shared" ca="1" si="48"/>
        <v/>
      </c>
      <c r="AH156" s="23" t="str">
        <f t="shared" ca="1" si="48"/>
        <v/>
      </c>
      <c r="AJ156" s="12" t="e">
        <f t="shared" si="50"/>
        <v>#N/A</v>
      </c>
      <c r="AK156" s="51" t="e">
        <f t="shared" si="51"/>
        <v>#N/A</v>
      </c>
      <c r="AL156" s="16" t="e">
        <f t="shared" si="52"/>
        <v>#N/A</v>
      </c>
      <c r="AM156" s="16" t="e">
        <f t="shared" si="53"/>
        <v>#N/A</v>
      </c>
      <c r="AN156" s="10" t="e">
        <f t="shared" ca="1" si="54"/>
        <v>#N/A</v>
      </c>
      <c r="AO156" s="10" t="e">
        <f t="shared" ca="1" si="55"/>
        <v>#N/A</v>
      </c>
      <c r="AP156" s="10" t="e">
        <f t="shared" si="56"/>
        <v>#N/A</v>
      </c>
      <c r="AQ156" s="10" t="e">
        <f t="shared" si="57"/>
        <v>#N/A</v>
      </c>
      <c r="AR156" s="10" t="e">
        <f t="shared" si="57"/>
        <v>#N/A</v>
      </c>
      <c r="BC156" s="29"/>
    </row>
    <row r="157" spans="2:55" x14ac:dyDescent="0.25">
      <c r="B157" s="41"/>
      <c r="C157" s="40"/>
      <c r="D157" s="63"/>
      <c r="E157" s="39"/>
      <c r="F157" s="60"/>
      <c r="G157" s="42" t="str">
        <f t="shared" si="63"/>
        <v/>
      </c>
      <c r="H157" s="45">
        <f t="shared" ca="1" si="58"/>
        <v>51</v>
      </c>
      <c r="I157" s="36">
        <f t="shared" ca="1" si="59"/>
        <v>0</v>
      </c>
      <c r="J157" s="36">
        <f t="shared" ca="1" si="60"/>
        <v>0</v>
      </c>
      <c r="L157" s="1">
        <f t="shared" ca="1" si="61"/>
        <v>0</v>
      </c>
      <c r="N157" s="21" t="str">
        <f t="shared" ca="1" si="62"/>
        <v/>
      </c>
      <c r="O157" s="22" t="str">
        <f t="shared" ca="1" si="62"/>
        <v/>
      </c>
      <c r="P157" s="22" t="str">
        <f t="shared" ca="1" si="62"/>
        <v/>
      </c>
      <c r="Q157" s="22" t="str">
        <f t="shared" ca="1" si="62"/>
        <v/>
      </c>
      <c r="R157" s="22" t="str">
        <f t="shared" ca="1" si="62"/>
        <v/>
      </c>
      <c r="S157" s="22" t="str">
        <f t="shared" ca="1" si="62"/>
        <v/>
      </c>
      <c r="T157" s="22" t="str">
        <f t="shared" ca="1" si="62"/>
        <v/>
      </c>
      <c r="U157" s="22" t="str">
        <f t="shared" ca="1" si="62"/>
        <v/>
      </c>
      <c r="V157" s="22" t="str">
        <f t="shared" ca="1" si="62"/>
        <v/>
      </c>
      <c r="W157" s="23" t="str">
        <f t="shared" ca="1" si="62"/>
        <v/>
      </c>
      <c r="Y157" s="21" t="str">
        <f t="shared" ca="1" si="49"/>
        <v/>
      </c>
      <c r="Z157" s="22" t="str">
        <f t="shared" ca="1" si="49"/>
        <v/>
      </c>
      <c r="AA157" s="22" t="str">
        <f t="shared" ca="1" si="49"/>
        <v/>
      </c>
      <c r="AB157" s="22" t="str">
        <f t="shared" ca="1" si="49"/>
        <v/>
      </c>
      <c r="AC157" s="22" t="str">
        <f t="shared" ca="1" si="49"/>
        <v/>
      </c>
      <c r="AD157" s="22" t="str">
        <f t="shared" ca="1" si="48"/>
        <v/>
      </c>
      <c r="AE157" s="22" t="str">
        <f t="shared" ca="1" si="48"/>
        <v/>
      </c>
      <c r="AF157" s="22" t="str">
        <f t="shared" ca="1" si="48"/>
        <v/>
      </c>
      <c r="AG157" s="22" t="str">
        <f t="shared" ca="1" si="48"/>
        <v/>
      </c>
      <c r="AH157" s="23" t="str">
        <f t="shared" ca="1" si="48"/>
        <v/>
      </c>
      <c r="AJ157" s="12" t="e">
        <f t="shared" si="50"/>
        <v>#N/A</v>
      </c>
      <c r="AK157" s="51" t="e">
        <f t="shared" si="51"/>
        <v>#N/A</v>
      </c>
      <c r="AL157" s="16" t="e">
        <f t="shared" si="52"/>
        <v>#N/A</v>
      </c>
      <c r="AM157" s="16" t="e">
        <f t="shared" si="53"/>
        <v>#N/A</v>
      </c>
      <c r="AN157" s="10" t="e">
        <f t="shared" ca="1" si="54"/>
        <v>#N/A</v>
      </c>
      <c r="AO157" s="10" t="e">
        <f t="shared" ca="1" si="55"/>
        <v>#N/A</v>
      </c>
      <c r="AP157" s="10" t="e">
        <f t="shared" si="56"/>
        <v>#N/A</v>
      </c>
      <c r="AQ157" s="10" t="e">
        <f t="shared" si="57"/>
        <v>#N/A</v>
      </c>
      <c r="AR157" s="10" t="e">
        <f t="shared" si="57"/>
        <v>#N/A</v>
      </c>
      <c r="BC157" s="29"/>
    </row>
    <row r="158" spans="2:55" x14ac:dyDescent="0.25">
      <c r="B158" s="41"/>
      <c r="C158" s="40"/>
      <c r="D158" s="63"/>
      <c r="E158" s="39"/>
      <c r="F158" s="60"/>
      <c r="G158" s="42" t="str">
        <f t="shared" si="63"/>
        <v/>
      </c>
      <c r="H158" s="45">
        <f t="shared" ca="1" si="58"/>
        <v>51</v>
      </c>
      <c r="I158" s="36">
        <f t="shared" ca="1" si="59"/>
        <v>0</v>
      </c>
      <c r="J158" s="36">
        <f t="shared" ca="1" si="60"/>
        <v>0</v>
      </c>
      <c r="L158" s="1">
        <f t="shared" ca="1" si="61"/>
        <v>0</v>
      </c>
      <c r="N158" s="21" t="str">
        <f t="shared" ca="1" si="62"/>
        <v/>
      </c>
      <c r="O158" s="22" t="str">
        <f t="shared" ca="1" si="62"/>
        <v/>
      </c>
      <c r="P158" s="22" t="str">
        <f t="shared" ca="1" si="62"/>
        <v/>
      </c>
      <c r="Q158" s="22" t="str">
        <f t="shared" ca="1" si="62"/>
        <v/>
      </c>
      <c r="R158" s="22" t="str">
        <f t="shared" ca="1" si="62"/>
        <v/>
      </c>
      <c r="S158" s="22" t="str">
        <f t="shared" ca="1" si="62"/>
        <v/>
      </c>
      <c r="T158" s="22" t="str">
        <f t="shared" ca="1" si="62"/>
        <v/>
      </c>
      <c r="U158" s="22" t="str">
        <f t="shared" ca="1" si="62"/>
        <v/>
      </c>
      <c r="V158" s="22" t="str">
        <f t="shared" ca="1" si="62"/>
        <v/>
      </c>
      <c r="W158" s="23" t="str">
        <f t="shared" ca="1" si="62"/>
        <v/>
      </c>
      <c r="Y158" s="21" t="str">
        <f t="shared" ca="1" si="49"/>
        <v/>
      </c>
      <c r="Z158" s="22" t="str">
        <f t="shared" ca="1" si="49"/>
        <v/>
      </c>
      <c r="AA158" s="22" t="str">
        <f t="shared" ca="1" si="49"/>
        <v/>
      </c>
      <c r="AB158" s="22" t="str">
        <f t="shared" ca="1" si="49"/>
        <v/>
      </c>
      <c r="AC158" s="22" t="str">
        <f t="shared" ca="1" si="49"/>
        <v/>
      </c>
      <c r="AD158" s="22" t="str">
        <f t="shared" ca="1" si="48"/>
        <v/>
      </c>
      <c r="AE158" s="22" t="str">
        <f t="shared" ca="1" si="48"/>
        <v/>
      </c>
      <c r="AF158" s="22" t="str">
        <f t="shared" ca="1" si="48"/>
        <v/>
      </c>
      <c r="AG158" s="22" t="str">
        <f t="shared" ca="1" si="48"/>
        <v/>
      </c>
      <c r="AH158" s="23" t="str">
        <f t="shared" ca="1" si="48"/>
        <v/>
      </c>
      <c r="AJ158" s="12" t="e">
        <f t="shared" si="50"/>
        <v>#N/A</v>
      </c>
      <c r="AK158" s="51" t="e">
        <f t="shared" si="51"/>
        <v>#N/A</v>
      </c>
      <c r="AL158" s="16" t="e">
        <f t="shared" si="52"/>
        <v>#N/A</v>
      </c>
      <c r="AM158" s="16" t="e">
        <f t="shared" si="53"/>
        <v>#N/A</v>
      </c>
      <c r="AN158" s="10" t="e">
        <f t="shared" ca="1" si="54"/>
        <v>#N/A</v>
      </c>
      <c r="AO158" s="10" t="e">
        <f t="shared" ca="1" si="55"/>
        <v>#N/A</v>
      </c>
      <c r="AP158" s="10" t="e">
        <f t="shared" si="56"/>
        <v>#N/A</v>
      </c>
      <c r="AQ158" s="10" t="e">
        <f t="shared" si="57"/>
        <v>#N/A</v>
      </c>
      <c r="AR158" s="10" t="e">
        <f t="shared" si="57"/>
        <v>#N/A</v>
      </c>
      <c r="BC158" s="29"/>
    </row>
    <row r="159" spans="2:55" x14ac:dyDescent="0.25">
      <c r="B159" s="41"/>
      <c r="C159" s="40"/>
      <c r="D159" s="63"/>
      <c r="E159" s="39"/>
      <c r="F159" s="60"/>
      <c r="G159" s="42" t="str">
        <f t="shared" si="63"/>
        <v/>
      </c>
      <c r="H159" s="45">
        <f t="shared" ca="1" si="58"/>
        <v>51</v>
      </c>
      <c r="I159" s="36">
        <f t="shared" ca="1" si="59"/>
        <v>0</v>
      </c>
      <c r="J159" s="36">
        <f t="shared" ca="1" si="60"/>
        <v>0</v>
      </c>
      <c r="L159" s="1">
        <f t="shared" ca="1" si="61"/>
        <v>0</v>
      </c>
      <c r="N159" s="21" t="str">
        <f t="shared" ca="1" si="62"/>
        <v/>
      </c>
      <c r="O159" s="22" t="str">
        <f t="shared" ca="1" si="62"/>
        <v/>
      </c>
      <c r="P159" s="22" t="str">
        <f t="shared" ca="1" si="62"/>
        <v/>
      </c>
      <c r="Q159" s="22" t="str">
        <f t="shared" ca="1" si="62"/>
        <v/>
      </c>
      <c r="R159" s="22" t="str">
        <f t="shared" ca="1" si="62"/>
        <v/>
      </c>
      <c r="S159" s="22" t="str">
        <f t="shared" ca="1" si="62"/>
        <v/>
      </c>
      <c r="T159" s="22" t="str">
        <f t="shared" ca="1" si="62"/>
        <v/>
      </c>
      <c r="U159" s="22" t="str">
        <f t="shared" ca="1" si="62"/>
        <v/>
      </c>
      <c r="V159" s="22" t="str">
        <f t="shared" ca="1" si="62"/>
        <v/>
      </c>
      <c r="W159" s="23" t="str">
        <f t="shared" ca="1" si="62"/>
        <v/>
      </c>
      <c r="Y159" s="21" t="str">
        <f t="shared" ca="1" si="49"/>
        <v/>
      </c>
      <c r="Z159" s="22" t="str">
        <f t="shared" ca="1" si="49"/>
        <v/>
      </c>
      <c r="AA159" s="22" t="str">
        <f t="shared" ca="1" si="49"/>
        <v/>
      </c>
      <c r="AB159" s="22" t="str">
        <f t="shared" ca="1" si="49"/>
        <v/>
      </c>
      <c r="AC159" s="22" t="str">
        <f t="shared" ca="1" si="49"/>
        <v/>
      </c>
      <c r="AD159" s="22" t="str">
        <f t="shared" ca="1" si="48"/>
        <v/>
      </c>
      <c r="AE159" s="22" t="str">
        <f t="shared" ca="1" si="48"/>
        <v/>
      </c>
      <c r="AF159" s="22" t="str">
        <f t="shared" ca="1" si="48"/>
        <v/>
      </c>
      <c r="AG159" s="22" t="str">
        <f t="shared" ca="1" si="48"/>
        <v/>
      </c>
      <c r="AH159" s="23" t="str">
        <f t="shared" ca="1" si="48"/>
        <v/>
      </c>
      <c r="AJ159" s="12" t="e">
        <f t="shared" si="50"/>
        <v>#N/A</v>
      </c>
      <c r="AK159" s="51" t="e">
        <f t="shared" si="51"/>
        <v>#N/A</v>
      </c>
      <c r="AL159" s="16" t="e">
        <f t="shared" si="52"/>
        <v>#N/A</v>
      </c>
      <c r="AM159" s="16" t="e">
        <f t="shared" si="53"/>
        <v>#N/A</v>
      </c>
      <c r="AN159" s="10" t="e">
        <f t="shared" ca="1" si="54"/>
        <v>#N/A</v>
      </c>
      <c r="AO159" s="10" t="e">
        <f t="shared" ca="1" si="55"/>
        <v>#N/A</v>
      </c>
      <c r="AP159" s="10" t="e">
        <f t="shared" si="56"/>
        <v>#N/A</v>
      </c>
      <c r="AQ159" s="10" t="e">
        <f t="shared" si="57"/>
        <v>#N/A</v>
      </c>
      <c r="AR159" s="10" t="e">
        <f t="shared" si="57"/>
        <v>#N/A</v>
      </c>
      <c r="BC159" s="29"/>
    </row>
    <row r="160" spans="2:55" x14ac:dyDescent="0.25">
      <c r="B160" s="41"/>
      <c r="C160" s="40"/>
      <c r="D160" s="63"/>
      <c r="E160" s="39"/>
      <c r="F160" s="60"/>
      <c r="G160" s="42" t="str">
        <f t="shared" si="63"/>
        <v/>
      </c>
      <c r="H160" s="45">
        <f t="shared" ca="1" si="58"/>
        <v>51</v>
      </c>
      <c r="I160" s="36">
        <f t="shared" ca="1" si="59"/>
        <v>0</v>
      </c>
      <c r="J160" s="36">
        <f t="shared" ca="1" si="60"/>
        <v>0</v>
      </c>
      <c r="L160" s="1">
        <f t="shared" ca="1" si="61"/>
        <v>0</v>
      </c>
      <c r="N160" s="21" t="str">
        <f t="shared" ca="1" si="62"/>
        <v/>
      </c>
      <c r="O160" s="22" t="str">
        <f t="shared" ca="1" si="62"/>
        <v/>
      </c>
      <c r="P160" s="22" t="str">
        <f t="shared" ca="1" si="62"/>
        <v/>
      </c>
      <c r="Q160" s="22" t="str">
        <f t="shared" ca="1" si="62"/>
        <v/>
      </c>
      <c r="R160" s="22" t="str">
        <f t="shared" ca="1" si="62"/>
        <v/>
      </c>
      <c r="S160" s="22" t="str">
        <f t="shared" ca="1" si="62"/>
        <v/>
      </c>
      <c r="T160" s="22" t="str">
        <f t="shared" ca="1" si="62"/>
        <v/>
      </c>
      <c r="U160" s="22" t="str">
        <f t="shared" ca="1" si="62"/>
        <v/>
      </c>
      <c r="V160" s="22" t="str">
        <f t="shared" ca="1" si="62"/>
        <v/>
      </c>
      <c r="W160" s="23" t="str">
        <f t="shared" ca="1" si="62"/>
        <v/>
      </c>
      <c r="Y160" s="21" t="str">
        <f t="shared" ca="1" si="49"/>
        <v/>
      </c>
      <c r="Z160" s="22" t="str">
        <f t="shared" ca="1" si="49"/>
        <v/>
      </c>
      <c r="AA160" s="22" t="str">
        <f t="shared" ca="1" si="49"/>
        <v/>
      </c>
      <c r="AB160" s="22" t="str">
        <f t="shared" ca="1" si="49"/>
        <v/>
      </c>
      <c r="AC160" s="22" t="str">
        <f t="shared" ca="1" si="49"/>
        <v/>
      </c>
      <c r="AD160" s="22" t="str">
        <f t="shared" ca="1" si="48"/>
        <v/>
      </c>
      <c r="AE160" s="22" t="str">
        <f t="shared" ca="1" si="48"/>
        <v/>
      </c>
      <c r="AF160" s="22" t="str">
        <f t="shared" ca="1" si="48"/>
        <v/>
      </c>
      <c r="AG160" s="22" t="str">
        <f t="shared" ca="1" si="48"/>
        <v/>
      </c>
      <c r="AH160" s="23" t="str">
        <f t="shared" ca="1" si="48"/>
        <v/>
      </c>
      <c r="AJ160" s="12" t="e">
        <f t="shared" si="50"/>
        <v>#N/A</v>
      </c>
      <c r="AK160" s="51" t="e">
        <f t="shared" si="51"/>
        <v>#N/A</v>
      </c>
      <c r="AL160" s="16" t="e">
        <f t="shared" si="52"/>
        <v>#N/A</v>
      </c>
      <c r="AM160" s="16" t="e">
        <f t="shared" si="53"/>
        <v>#N/A</v>
      </c>
      <c r="AN160" s="10" t="e">
        <f t="shared" ca="1" si="54"/>
        <v>#N/A</v>
      </c>
      <c r="AO160" s="10" t="e">
        <f t="shared" ca="1" si="55"/>
        <v>#N/A</v>
      </c>
      <c r="AP160" s="10" t="e">
        <f t="shared" si="56"/>
        <v>#N/A</v>
      </c>
      <c r="AQ160" s="10" t="e">
        <f t="shared" si="57"/>
        <v>#N/A</v>
      </c>
      <c r="AR160" s="10" t="e">
        <f t="shared" si="57"/>
        <v>#N/A</v>
      </c>
      <c r="BC160" s="29"/>
    </row>
    <row r="161" spans="2:55" x14ac:dyDescent="0.25">
      <c r="B161" s="41"/>
      <c r="C161" s="40"/>
      <c r="D161" s="63"/>
      <c r="E161" s="39"/>
      <c r="F161" s="60"/>
      <c r="G161" s="42" t="str">
        <f t="shared" si="63"/>
        <v/>
      </c>
      <c r="H161" s="45">
        <f t="shared" ca="1" si="58"/>
        <v>51</v>
      </c>
      <c r="I161" s="36">
        <f t="shared" ca="1" si="59"/>
        <v>0</v>
      </c>
      <c r="J161" s="36">
        <f t="shared" ca="1" si="60"/>
        <v>0</v>
      </c>
      <c r="L161" s="1">
        <f t="shared" ca="1" si="61"/>
        <v>0</v>
      </c>
      <c r="N161" s="21" t="str">
        <f t="shared" ca="1" si="62"/>
        <v/>
      </c>
      <c r="O161" s="22" t="str">
        <f t="shared" ca="1" si="62"/>
        <v/>
      </c>
      <c r="P161" s="22" t="str">
        <f t="shared" ca="1" si="62"/>
        <v/>
      </c>
      <c r="Q161" s="22" t="str">
        <f t="shared" ca="1" si="62"/>
        <v/>
      </c>
      <c r="R161" s="22" t="str">
        <f t="shared" ca="1" si="62"/>
        <v/>
      </c>
      <c r="S161" s="22" t="str">
        <f t="shared" ca="1" si="62"/>
        <v/>
      </c>
      <c r="T161" s="22" t="str">
        <f t="shared" ca="1" si="62"/>
        <v/>
      </c>
      <c r="U161" s="22" t="str">
        <f t="shared" ca="1" si="62"/>
        <v/>
      </c>
      <c r="V161" s="22" t="str">
        <f t="shared" ca="1" si="62"/>
        <v/>
      </c>
      <c r="W161" s="23" t="str">
        <f t="shared" ca="1" si="62"/>
        <v/>
      </c>
      <c r="Y161" s="21" t="str">
        <f t="shared" ca="1" si="49"/>
        <v/>
      </c>
      <c r="Z161" s="22" t="str">
        <f t="shared" ca="1" si="49"/>
        <v/>
      </c>
      <c r="AA161" s="22" t="str">
        <f t="shared" ca="1" si="49"/>
        <v/>
      </c>
      <c r="AB161" s="22" t="str">
        <f t="shared" ca="1" si="49"/>
        <v/>
      </c>
      <c r="AC161" s="22" t="str">
        <f t="shared" ca="1" si="49"/>
        <v/>
      </c>
      <c r="AD161" s="22" t="str">
        <f t="shared" ca="1" si="48"/>
        <v/>
      </c>
      <c r="AE161" s="22" t="str">
        <f t="shared" ca="1" si="48"/>
        <v/>
      </c>
      <c r="AF161" s="22" t="str">
        <f t="shared" ca="1" si="48"/>
        <v/>
      </c>
      <c r="AG161" s="22" t="str">
        <f t="shared" ca="1" si="48"/>
        <v/>
      </c>
      <c r="AH161" s="23" t="str">
        <f t="shared" ca="1" si="48"/>
        <v/>
      </c>
      <c r="AJ161" s="12" t="e">
        <f t="shared" si="50"/>
        <v>#N/A</v>
      </c>
      <c r="AK161" s="51" t="e">
        <f t="shared" si="51"/>
        <v>#N/A</v>
      </c>
      <c r="AL161" s="16" t="e">
        <f t="shared" si="52"/>
        <v>#N/A</v>
      </c>
      <c r="AM161" s="16" t="e">
        <f t="shared" si="53"/>
        <v>#N/A</v>
      </c>
      <c r="AN161" s="10" t="e">
        <f t="shared" ca="1" si="54"/>
        <v>#N/A</v>
      </c>
      <c r="AO161" s="10" t="e">
        <f t="shared" ca="1" si="55"/>
        <v>#N/A</v>
      </c>
      <c r="AP161" s="10" t="e">
        <f t="shared" si="56"/>
        <v>#N/A</v>
      </c>
      <c r="AQ161" s="10" t="e">
        <f t="shared" si="57"/>
        <v>#N/A</v>
      </c>
      <c r="AR161" s="10" t="e">
        <f t="shared" si="57"/>
        <v>#N/A</v>
      </c>
      <c r="BC161" s="29"/>
    </row>
    <row r="162" spans="2:55" x14ac:dyDescent="0.25">
      <c r="B162" s="41"/>
      <c r="C162" s="40"/>
      <c r="D162" s="63"/>
      <c r="E162" s="39"/>
      <c r="F162" s="60"/>
      <c r="G162" s="42" t="str">
        <f t="shared" si="63"/>
        <v/>
      </c>
      <c r="H162" s="45">
        <f t="shared" ca="1" si="58"/>
        <v>51</v>
      </c>
      <c r="I162" s="36">
        <f t="shared" ca="1" si="59"/>
        <v>0</v>
      </c>
      <c r="J162" s="36">
        <f t="shared" ca="1" si="60"/>
        <v>0</v>
      </c>
      <c r="L162" s="1">
        <f t="shared" ca="1" si="61"/>
        <v>0</v>
      </c>
      <c r="N162" s="21" t="str">
        <f t="shared" ca="1" si="62"/>
        <v/>
      </c>
      <c r="O162" s="22" t="str">
        <f t="shared" ca="1" si="62"/>
        <v/>
      </c>
      <c r="P162" s="22" t="str">
        <f t="shared" ca="1" si="62"/>
        <v/>
      </c>
      <c r="Q162" s="22" t="str">
        <f t="shared" ca="1" si="62"/>
        <v/>
      </c>
      <c r="R162" s="22" t="str">
        <f t="shared" ca="1" si="62"/>
        <v/>
      </c>
      <c r="S162" s="22" t="str">
        <f t="shared" ca="1" si="62"/>
        <v/>
      </c>
      <c r="T162" s="22" t="str">
        <f t="shared" ca="1" si="62"/>
        <v/>
      </c>
      <c r="U162" s="22" t="str">
        <f t="shared" ca="1" si="62"/>
        <v/>
      </c>
      <c r="V162" s="22" t="str">
        <f t="shared" ca="1" si="62"/>
        <v/>
      </c>
      <c r="W162" s="23" t="str">
        <f t="shared" ca="1" si="62"/>
        <v/>
      </c>
      <c r="Y162" s="21" t="str">
        <f t="shared" ca="1" si="49"/>
        <v/>
      </c>
      <c r="Z162" s="22" t="str">
        <f t="shared" ca="1" si="49"/>
        <v/>
      </c>
      <c r="AA162" s="22" t="str">
        <f t="shared" ca="1" si="49"/>
        <v/>
      </c>
      <c r="AB162" s="22" t="str">
        <f t="shared" ca="1" si="49"/>
        <v/>
      </c>
      <c r="AC162" s="22" t="str">
        <f t="shared" ca="1" si="49"/>
        <v/>
      </c>
      <c r="AD162" s="22" t="str">
        <f t="shared" ca="1" si="48"/>
        <v/>
      </c>
      <c r="AE162" s="22" t="str">
        <f t="shared" ca="1" si="48"/>
        <v/>
      </c>
      <c r="AF162" s="22" t="str">
        <f t="shared" ca="1" si="48"/>
        <v/>
      </c>
      <c r="AG162" s="22" t="str">
        <f t="shared" ca="1" si="48"/>
        <v/>
      </c>
      <c r="AH162" s="23" t="str">
        <f t="shared" ca="1" si="48"/>
        <v/>
      </c>
      <c r="AJ162" s="12" t="e">
        <f t="shared" si="50"/>
        <v>#N/A</v>
      </c>
      <c r="AK162" s="51" t="e">
        <f t="shared" si="51"/>
        <v>#N/A</v>
      </c>
      <c r="AL162" s="16" t="e">
        <f t="shared" si="52"/>
        <v>#N/A</v>
      </c>
      <c r="AM162" s="16" t="e">
        <f t="shared" si="53"/>
        <v>#N/A</v>
      </c>
      <c r="AN162" s="10" t="e">
        <f t="shared" ca="1" si="54"/>
        <v>#N/A</v>
      </c>
      <c r="AO162" s="10" t="e">
        <f t="shared" ca="1" si="55"/>
        <v>#N/A</v>
      </c>
      <c r="AP162" s="10" t="e">
        <f t="shared" si="56"/>
        <v>#N/A</v>
      </c>
      <c r="AQ162" s="10" t="e">
        <f t="shared" si="57"/>
        <v>#N/A</v>
      </c>
      <c r="AR162" s="10" t="e">
        <f t="shared" si="57"/>
        <v>#N/A</v>
      </c>
      <c r="BC162" s="29"/>
    </row>
    <row r="163" spans="2:55" x14ac:dyDescent="0.25">
      <c r="B163" s="41"/>
      <c r="C163" s="40"/>
      <c r="D163" s="63"/>
      <c r="E163" s="39"/>
      <c r="F163" s="60"/>
      <c r="G163" s="42" t="str">
        <f t="shared" si="63"/>
        <v/>
      </c>
      <c r="H163" s="45">
        <f t="shared" ca="1" si="58"/>
        <v>51</v>
      </c>
      <c r="I163" s="36">
        <f t="shared" ca="1" si="59"/>
        <v>0</v>
      </c>
      <c r="J163" s="36">
        <f t="shared" ca="1" si="60"/>
        <v>0</v>
      </c>
      <c r="L163" s="1">
        <f t="shared" ca="1" si="61"/>
        <v>0</v>
      </c>
      <c r="N163" s="21" t="str">
        <f t="shared" ca="1" si="62"/>
        <v/>
      </c>
      <c r="O163" s="22" t="str">
        <f t="shared" ca="1" si="62"/>
        <v/>
      </c>
      <c r="P163" s="22" t="str">
        <f t="shared" ca="1" si="62"/>
        <v/>
      </c>
      <c r="Q163" s="22" t="str">
        <f t="shared" ca="1" si="62"/>
        <v/>
      </c>
      <c r="R163" s="22" t="str">
        <f t="shared" ca="1" si="62"/>
        <v/>
      </c>
      <c r="S163" s="22" t="str">
        <f t="shared" ca="1" si="62"/>
        <v/>
      </c>
      <c r="T163" s="22" t="str">
        <f t="shared" ca="1" si="62"/>
        <v/>
      </c>
      <c r="U163" s="22" t="str">
        <f t="shared" ca="1" si="62"/>
        <v/>
      </c>
      <c r="V163" s="22" t="str">
        <f t="shared" ca="1" si="62"/>
        <v/>
      </c>
      <c r="W163" s="23" t="str">
        <f t="shared" ca="1" si="62"/>
        <v/>
      </c>
      <c r="Y163" s="21" t="str">
        <f t="shared" ca="1" si="49"/>
        <v/>
      </c>
      <c r="Z163" s="22" t="str">
        <f t="shared" ca="1" si="49"/>
        <v/>
      </c>
      <c r="AA163" s="22" t="str">
        <f t="shared" ca="1" si="49"/>
        <v/>
      </c>
      <c r="AB163" s="22" t="str">
        <f t="shared" ca="1" si="49"/>
        <v/>
      </c>
      <c r="AC163" s="22" t="str">
        <f t="shared" ca="1" si="49"/>
        <v/>
      </c>
      <c r="AD163" s="22" t="str">
        <f t="shared" ca="1" si="48"/>
        <v/>
      </c>
      <c r="AE163" s="22" t="str">
        <f t="shared" ca="1" si="48"/>
        <v/>
      </c>
      <c r="AF163" s="22" t="str">
        <f t="shared" ca="1" si="48"/>
        <v/>
      </c>
      <c r="AG163" s="22" t="str">
        <f t="shared" ca="1" si="48"/>
        <v/>
      </c>
      <c r="AH163" s="23" t="str">
        <f t="shared" ca="1" si="48"/>
        <v/>
      </c>
      <c r="AJ163" s="12" t="e">
        <f t="shared" si="50"/>
        <v>#N/A</v>
      </c>
      <c r="AK163" s="51" t="e">
        <f t="shared" si="51"/>
        <v>#N/A</v>
      </c>
      <c r="AL163" s="16" t="e">
        <f t="shared" si="52"/>
        <v>#N/A</v>
      </c>
      <c r="AM163" s="16" t="e">
        <f t="shared" si="53"/>
        <v>#N/A</v>
      </c>
      <c r="AN163" s="10" t="e">
        <f t="shared" ca="1" si="54"/>
        <v>#N/A</v>
      </c>
      <c r="AO163" s="10" t="e">
        <f t="shared" ca="1" si="55"/>
        <v>#N/A</v>
      </c>
      <c r="AP163" s="10" t="e">
        <f t="shared" si="56"/>
        <v>#N/A</v>
      </c>
      <c r="AQ163" s="10" t="e">
        <f t="shared" si="57"/>
        <v>#N/A</v>
      </c>
      <c r="AR163" s="10" t="e">
        <f t="shared" si="57"/>
        <v>#N/A</v>
      </c>
      <c r="BC163" s="29"/>
    </row>
    <row r="164" spans="2:55" x14ac:dyDescent="0.25">
      <c r="B164" s="41"/>
      <c r="C164" s="40"/>
      <c r="D164" s="63"/>
      <c r="E164" s="39"/>
      <c r="F164" s="60"/>
      <c r="G164" s="42" t="str">
        <f t="shared" si="63"/>
        <v/>
      </c>
      <c r="H164" s="45">
        <f t="shared" ca="1" si="58"/>
        <v>51</v>
      </c>
      <c r="I164" s="36">
        <f t="shared" ca="1" si="59"/>
        <v>0</v>
      </c>
      <c r="J164" s="36">
        <f t="shared" ca="1" si="60"/>
        <v>0</v>
      </c>
      <c r="L164" s="1">
        <f t="shared" ca="1" si="61"/>
        <v>0</v>
      </c>
      <c r="N164" s="21" t="str">
        <f t="shared" ca="1" si="62"/>
        <v/>
      </c>
      <c r="O164" s="22" t="str">
        <f t="shared" ca="1" si="62"/>
        <v/>
      </c>
      <c r="P164" s="22" t="str">
        <f t="shared" ca="1" si="62"/>
        <v/>
      </c>
      <c r="Q164" s="22" t="str">
        <f t="shared" ca="1" si="62"/>
        <v/>
      </c>
      <c r="R164" s="22" t="str">
        <f t="shared" ca="1" si="62"/>
        <v/>
      </c>
      <c r="S164" s="22" t="str">
        <f t="shared" ca="1" si="62"/>
        <v/>
      </c>
      <c r="T164" s="22" t="str">
        <f t="shared" ca="1" si="62"/>
        <v/>
      </c>
      <c r="U164" s="22" t="str">
        <f t="shared" ca="1" si="62"/>
        <v/>
      </c>
      <c r="V164" s="22" t="str">
        <f t="shared" ca="1" si="62"/>
        <v/>
      </c>
      <c r="W164" s="23" t="str">
        <f t="shared" ca="1" si="62"/>
        <v/>
      </c>
      <c r="Y164" s="21" t="str">
        <f t="shared" ca="1" si="49"/>
        <v/>
      </c>
      <c r="Z164" s="22" t="str">
        <f t="shared" ca="1" si="49"/>
        <v/>
      </c>
      <c r="AA164" s="22" t="str">
        <f t="shared" ca="1" si="49"/>
        <v/>
      </c>
      <c r="AB164" s="22" t="str">
        <f t="shared" ca="1" si="49"/>
        <v/>
      </c>
      <c r="AC164" s="22" t="str">
        <f t="shared" ca="1" si="49"/>
        <v/>
      </c>
      <c r="AD164" s="22" t="str">
        <f t="shared" ca="1" si="48"/>
        <v/>
      </c>
      <c r="AE164" s="22" t="str">
        <f t="shared" ca="1" si="48"/>
        <v/>
      </c>
      <c r="AF164" s="22" t="str">
        <f t="shared" ca="1" si="48"/>
        <v/>
      </c>
      <c r="AG164" s="22" t="str">
        <f t="shared" ca="1" si="48"/>
        <v/>
      </c>
      <c r="AH164" s="23" t="str">
        <f t="shared" ca="1" si="48"/>
        <v/>
      </c>
      <c r="AJ164" s="12" t="e">
        <f t="shared" si="50"/>
        <v>#N/A</v>
      </c>
      <c r="AK164" s="51" t="e">
        <f t="shared" si="51"/>
        <v>#N/A</v>
      </c>
      <c r="AL164" s="16" t="e">
        <f t="shared" si="52"/>
        <v>#N/A</v>
      </c>
      <c r="AM164" s="16" t="e">
        <f t="shared" si="53"/>
        <v>#N/A</v>
      </c>
      <c r="AN164" s="10" t="e">
        <f t="shared" ca="1" si="54"/>
        <v>#N/A</v>
      </c>
      <c r="AO164" s="10" t="e">
        <f t="shared" ca="1" si="55"/>
        <v>#N/A</v>
      </c>
      <c r="AP164" s="10" t="e">
        <f t="shared" si="56"/>
        <v>#N/A</v>
      </c>
      <c r="AQ164" s="10" t="e">
        <f t="shared" si="57"/>
        <v>#N/A</v>
      </c>
      <c r="AR164" s="10" t="e">
        <f t="shared" si="57"/>
        <v>#N/A</v>
      </c>
      <c r="BC164" s="29"/>
    </row>
    <row r="165" spans="2:55" x14ac:dyDescent="0.25">
      <c r="B165" s="41"/>
      <c r="C165" s="40"/>
      <c r="D165" s="63"/>
      <c r="E165" s="39"/>
      <c r="F165" s="60"/>
      <c r="G165" s="42" t="str">
        <f t="shared" si="63"/>
        <v/>
      </c>
      <c r="H165" s="45">
        <f t="shared" ca="1" si="58"/>
        <v>51</v>
      </c>
      <c r="I165" s="36">
        <f t="shared" ca="1" si="59"/>
        <v>0</v>
      </c>
      <c r="J165" s="36">
        <f t="shared" ca="1" si="60"/>
        <v>0</v>
      </c>
      <c r="L165" s="1">
        <f t="shared" ca="1" si="61"/>
        <v>0</v>
      </c>
      <c r="N165" s="21" t="str">
        <f t="shared" ca="1" si="62"/>
        <v/>
      </c>
      <c r="O165" s="22" t="str">
        <f t="shared" ca="1" si="62"/>
        <v/>
      </c>
      <c r="P165" s="22" t="str">
        <f t="shared" ca="1" si="62"/>
        <v/>
      </c>
      <c r="Q165" s="22" t="str">
        <f t="shared" ca="1" si="62"/>
        <v/>
      </c>
      <c r="R165" s="22" t="str">
        <f t="shared" ca="1" si="62"/>
        <v/>
      </c>
      <c r="S165" s="22" t="str">
        <f t="shared" ca="1" si="62"/>
        <v/>
      </c>
      <c r="T165" s="22" t="str">
        <f t="shared" ca="1" si="62"/>
        <v/>
      </c>
      <c r="U165" s="22" t="str">
        <f t="shared" ca="1" si="62"/>
        <v/>
      </c>
      <c r="V165" s="22" t="str">
        <f t="shared" ca="1" si="62"/>
        <v/>
      </c>
      <c r="W165" s="23" t="str">
        <f t="shared" ca="1" si="62"/>
        <v/>
      </c>
      <c r="Y165" s="21" t="str">
        <f t="shared" ca="1" si="49"/>
        <v/>
      </c>
      <c r="Z165" s="22" t="str">
        <f t="shared" ca="1" si="49"/>
        <v/>
      </c>
      <c r="AA165" s="22" t="str">
        <f t="shared" ca="1" si="49"/>
        <v/>
      </c>
      <c r="AB165" s="22" t="str">
        <f t="shared" ca="1" si="49"/>
        <v/>
      </c>
      <c r="AC165" s="22" t="str">
        <f t="shared" ca="1" si="49"/>
        <v/>
      </c>
      <c r="AD165" s="22" t="str">
        <f t="shared" ca="1" si="48"/>
        <v/>
      </c>
      <c r="AE165" s="22" t="str">
        <f t="shared" ca="1" si="48"/>
        <v/>
      </c>
      <c r="AF165" s="22" t="str">
        <f t="shared" ca="1" si="48"/>
        <v/>
      </c>
      <c r="AG165" s="22" t="str">
        <f t="shared" ca="1" si="48"/>
        <v/>
      </c>
      <c r="AH165" s="23" t="str">
        <f t="shared" ca="1" si="48"/>
        <v/>
      </c>
      <c r="AJ165" s="12" t="e">
        <f t="shared" si="50"/>
        <v>#N/A</v>
      </c>
      <c r="AK165" s="51" t="e">
        <f t="shared" si="51"/>
        <v>#N/A</v>
      </c>
      <c r="AL165" s="16" t="e">
        <f t="shared" si="52"/>
        <v>#N/A</v>
      </c>
      <c r="AM165" s="16" t="e">
        <f t="shared" si="53"/>
        <v>#N/A</v>
      </c>
      <c r="AN165" s="10" t="e">
        <f t="shared" ca="1" si="54"/>
        <v>#N/A</v>
      </c>
      <c r="AO165" s="10" t="e">
        <f t="shared" ca="1" si="55"/>
        <v>#N/A</v>
      </c>
      <c r="AP165" s="10" t="e">
        <f t="shared" si="56"/>
        <v>#N/A</v>
      </c>
      <c r="AQ165" s="10" t="e">
        <f t="shared" si="57"/>
        <v>#N/A</v>
      </c>
      <c r="AR165" s="10" t="e">
        <f t="shared" si="57"/>
        <v>#N/A</v>
      </c>
      <c r="BC165" s="29"/>
    </row>
    <row r="166" spans="2:55" x14ac:dyDescent="0.25">
      <c r="B166" s="41"/>
      <c r="C166" s="40"/>
      <c r="D166" s="63"/>
      <c r="E166" s="39"/>
      <c r="F166" s="60"/>
      <c r="G166" s="42" t="str">
        <f t="shared" si="63"/>
        <v/>
      </c>
      <c r="H166" s="45">
        <f t="shared" ca="1" si="58"/>
        <v>51</v>
      </c>
      <c r="I166" s="36">
        <f t="shared" ca="1" si="59"/>
        <v>0</v>
      </c>
      <c r="J166" s="36">
        <f t="shared" ca="1" si="60"/>
        <v>0</v>
      </c>
      <c r="L166" s="1">
        <f t="shared" ca="1" si="61"/>
        <v>0</v>
      </c>
      <c r="N166" s="21" t="str">
        <f t="shared" ca="1" si="62"/>
        <v/>
      </c>
      <c r="O166" s="22" t="str">
        <f t="shared" ca="1" si="62"/>
        <v/>
      </c>
      <c r="P166" s="22" t="str">
        <f t="shared" ca="1" si="62"/>
        <v/>
      </c>
      <c r="Q166" s="22" t="str">
        <f t="shared" ca="1" si="62"/>
        <v/>
      </c>
      <c r="R166" s="22" t="str">
        <f t="shared" ca="1" si="62"/>
        <v/>
      </c>
      <c r="S166" s="22" t="str">
        <f t="shared" ca="1" si="62"/>
        <v/>
      </c>
      <c r="T166" s="22" t="str">
        <f t="shared" ca="1" si="62"/>
        <v/>
      </c>
      <c r="U166" s="22" t="str">
        <f t="shared" ca="1" si="62"/>
        <v/>
      </c>
      <c r="V166" s="22" t="str">
        <f t="shared" ca="1" si="62"/>
        <v/>
      </c>
      <c r="W166" s="23" t="str">
        <f t="shared" ca="1" si="62"/>
        <v/>
      </c>
      <c r="Y166" s="21" t="str">
        <f t="shared" ca="1" si="49"/>
        <v/>
      </c>
      <c r="Z166" s="22" t="str">
        <f t="shared" ca="1" si="49"/>
        <v/>
      </c>
      <c r="AA166" s="22" t="str">
        <f t="shared" ca="1" si="49"/>
        <v/>
      </c>
      <c r="AB166" s="22" t="str">
        <f t="shared" ca="1" si="49"/>
        <v/>
      </c>
      <c r="AC166" s="22" t="str">
        <f t="shared" ca="1" si="49"/>
        <v/>
      </c>
      <c r="AD166" s="22" t="str">
        <f t="shared" ca="1" si="48"/>
        <v/>
      </c>
      <c r="AE166" s="22" t="str">
        <f t="shared" ca="1" si="48"/>
        <v/>
      </c>
      <c r="AF166" s="22" t="str">
        <f t="shared" ca="1" si="48"/>
        <v/>
      </c>
      <c r="AG166" s="22" t="str">
        <f t="shared" ca="1" si="48"/>
        <v/>
      </c>
      <c r="AH166" s="23" t="str">
        <f t="shared" ca="1" si="48"/>
        <v/>
      </c>
      <c r="AJ166" s="12" t="e">
        <f t="shared" si="50"/>
        <v>#N/A</v>
      </c>
      <c r="AK166" s="51" t="e">
        <f t="shared" si="51"/>
        <v>#N/A</v>
      </c>
      <c r="AL166" s="16" t="e">
        <f t="shared" si="52"/>
        <v>#N/A</v>
      </c>
      <c r="AM166" s="16" t="e">
        <f t="shared" si="53"/>
        <v>#N/A</v>
      </c>
      <c r="AN166" s="10" t="e">
        <f t="shared" ca="1" si="54"/>
        <v>#N/A</v>
      </c>
      <c r="AO166" s="10" t="e">
        <f t="shared" ca="1" si="55"/>
        <v>#N/A</v>
      </c>
      <c r="AP166" s="10" t="e">
        <f t="shared" si="56"/>
        <v>#N/A</v>
      </c>
      <c r="AQ166" s="10" t="e">
        <f t="shared" si="57"/>
        <v>#N/A</v>
      </c>
      <c r="AR166" s="10" t="e">
        <f t="shared" si="57"/>
        <v>#N/A</v>
      </c>
      <c r="BC166" s="29"/>
    </row>
    <row r="167" spans="2:55" x14ac:dyDescent="0.25">
      <c r="B167" s="41"/>
      <c r="C167" s="40"/>
      <c r="D167" s="63"/>
      <c r="E167" s="39"/>
      <c r="F167" s="60"/>
      <c r="G167" s="42" t="str">
        <f t="shared" si="63"/>
        <v/>
      </c>
      <c r="H167" s="45">
        <f t="shared" ca="1" si="58"/>
        <v>51</v>
      </c>
      <c r="I167" s="36">
        <f t="shared" ca="1" si="59"/>
        <v>0</v>
      </c>
      <c r="J167" s="36">
        <f t="shared" ca="1" si="60"/>
        <v>0</v>
      </c>
      <c r="L167" s="1">
        <f t="shared" ca="1" si="61"/>
        <v>0</v>
      </c>
      <c r="N167" s="21" t="str">
        <f t="shared" ca="1" si="62"/>
        <v/>
      </c>
      <c r="O167" s="22" t="str">
        <f t="shared" ca="1" si="62"/>
        <v/>
      </c>
      <c r="P167" s="22" t="str">
        <f t="shared" ca="1" si="62"/>
        <v/>
      </c>
      <c r="Q167" s="22" t="str">
        <f t="shared" ca="1" si="62"/>
        <v/>
      </c>
      <c r="R167" s="22" t="str">
        <f t="shared" ca="1" si="62"/>
        <v/>
      </c>
      <c r="S167" s="22" t="str">
        <f t="shared" ca="1" si="62"/>
        <v/>
      </c>
      <c r="T167" s="22" t="str">
        <f t="shared" ca="1" si="62"/>
        <v/>
      </c>
      <c r="U167" s="22" t="str">
        <f t="shared" ca="1" si="62"/>
        <v/>
      </c>
      <c r="V167" s="22" t="str">
        <f t="shared" ca="1" si="62"/>
        <v/>
      </c>
      <c r="W167" s="23" t="str">
        <f t="shared" ca="1" si="62"/>
        <v/>
      </c>
      <c r="Y167" s="21" t="str">
        <f t="shared" ca="1" si="49"/>
        <v/>
      </c>
      <c r="Z167" s="22" t="str">
        <f t="shared" ca="1" si="49"/>
        <v/>
      </c>
      <c r="AA167" s="22" t="str">
        <f t="shared" ca="1" si="49"/>
        <v/>
      </c>
      <c r="AB167" s="22" t="str">
        <f t="shared" ca="1" si="49"/>
        <v/>
      </c>
      <c r="AC167" s="22" t="str">
        <f t="shared" ca="1" si="49"/>
        <v/>
      </c>
      <c r="AD167" s="22" t="str">
        <f t="shared" ca="1" si="48"/>
        <v/>
      </c>
      <c r="AE167" s="22" t="str">
        <f t="shared" ca="1" si="48"/>
        <v/>
      </c>
      <c r="AF167" s="22" t="str">
        <f t="shared" ca="1" si="48"/>
        <v/>
      </c>
      <c r="AG167" s="22" t="str">
        <f t="shared" ca="1" si="48"/>
        <v/>
      </c>
      <c r="AH167" s="23" t="str">
        <f t="shared" ca="1" si="48"/>
        <v/>
      </c>
      <c r="AJ167" s="12" t="e">
        <f t="shared" si="50"/>
        <v>#N/A</v>
      </c>
      <c r="AK167" s="51" t="e">
        <f t="shared" si="51"/>
        <v>#N/A</v>
      </c>
      <c r="AL167" s="16" t="e">
        <f t="shared" si="52"/>
        <v>#N/A</v>
      </c>
      <c r="AM167" s="16" t="e">
        <f t="shared" si="53"/>
        <v>#N/A</v>
      </c>
      <c r="AN167" s="10" t="e">
        <f t="shared" ca="1" si="54"/>
        <v>#N/A</v>
      </c>
      <c r="AO167" s="10" t="e">
        <f t="shared" ca="1" si="55"/>
        <v>#N/A</v>
      </c>
      <c r="AP167" s="10" t="e">
        <f t="shared" si="56"/>
        <v>#N/A</v>
      </c>
      <c r="AQ167" s="10" t="e">
        <f t="shared" si="57"/>
        <v>#N/A</v>
      </c>
      <c r="AR167" s="10" t="e">
        <f t="shared" si="57"/>
        <v>#N/A</v>
      </c>
      <c r="BC167" s="29"/>
    </row>
    <row r="168" spans="2:55" x14ac:dyDescent="0.25">
      <c r="B168" s="41"/>
      <c r="C168" s="40"/>
      <c r="D168" s="63"/>
      <c r="E168" s="39"/>
      <c r="F168" s="60"/>
      <c r="G168" s="42" t="str">
        <f t="shared" si="63"/>
        <v/>
      </c>
      <c r="H168" s="45">
        <f t="shared" ca="1" si="58"/>
        <v>51</v>
      </c>
      <c r="I168" s="36">
        <f t="shared" ca="1" si="59"/>
        <v>0</v>
      </c>
      <c r="J168" s="36">
        <f t="shared" ca="1" si="60"/>
        <v>0</v>
      </c>
      <c r="L168" s="1">
        <f t="shared" ca="1" si="61"/>
        <v>0</v>
      </c>
      <c r="N168" s="21" t="str">
        <f t="shared" ca="1" si="62"/>
        <v/>
      </c>
      <c r="O168" s="22" t="str">
        <f t="shared" ca="1" si="62"/>
        <v/>
      </c>
      <c r="P168" s="22" t="str">
        <f t="shared" ca="1" si="62"/>
        <v/>
      </c>
      <c r="Q168" s="22" t="str">
        <f t="shared" ca="1" si="62"/>
        <v/>
      </c>
      <c r="R168" s="22" t="str">
        <f t="shared" ca="1" si="62"/>
        <v/>
      </c>
      <c r="S168" s="22" t="str">
        <f t="shared" ca="1" si="62"/>
        <v/>
      </c>
      <c r="T168" s="22" t="str">
        <f t="shared" ca="1" si="62"/>
        <v/>
      </c>
      <c r="U168" s="22" t="str">
        <f t="shared" ca="1" si="62"/>
        <v/>
      </c>
      <c r="V168" s="22" t="str">
        <f t="shared" ca="1" si="62"/>
        <v/>
      </c>
      <c r="W168" s="23" t="str">
        <f t="shared" ca="1" si="62"/>
        <v/>
      </c>
      <c r="Y168" s="21" t="str">
        <f t="shared" ca="1" si="49"/>
        <v/>
      </c>
      <c r="Z168" s="22" t="str">
        <f t="shared" ca="1" si="49"/>
        <v/>
      </c>
      <c r="AA168" s="22" t="str">
        <f t="shared" ca="1" si="49"/>
        <v/>
      </c>
      <c r="AB168" s="22" t="str">
        <f t="shared" ca="1" si="49"/>
        <v/>
      </c>
      <c r="AC168" s="22" t="str">
        <f t="shared" ca="1" si="49"/>
        <v/>
      </c>
      <c r="AD168" s="22" t="str">
        <f t="shared" ca="1" si="48"/>
        <v/>
      </c>
      <c r="AE168" s="22" t="str">
        <f t="shared" ca="1" si="48"/>
        <v/>
      </c>
      <c r="AF168" s="22" t="str">
        <f t="shared" ca="1" si="48"/>
        <v/>
      </c>
      <c r="AG168" s="22" t="str">
        <f t="shared" ca="1" si="48"/>
        <v/>
      </c>
      <c r="AH168" s="23" t="str">
        <f t="shared" ca="1" si="48"/>
        <v/>
      </c>
      <c r="AJ168" s="12" t="e">
        <f t="shared" si="50"/>
        <v>#N/A</v>
      </c>
      <c r="AK168" s="51" t="e">
        <f t="shared" si="51"/>
        <v>#N/A</v>
      </c>
      <c r="AL168" s="16" t="e">
        <f t="shared" si="52"/>
        <v>#N/A</v>
      </c>
      <c r="AM168" s="16" t="e">
        <f t="shared" si="53"/>
        <v>#N/A</v>
      </c>
      <c r="AN168" s="10" t="e">
        <f t="shared" ca="1" si="54"/>
        <v>#N/A</v>
      </c>
      <c r="AO168" s="10" t="e">
        <f t="shared" ca="1" si="55"/>
        <v>#N/A</v>
      </c>
      <c r="AP168" s="10" t="e">
        <f t="shared" si="56"/>
        <v>#N/A</v>
      </c>
      <c r="AQ168" s="10" t="e">
        <f t="shared" si="57"/>
        <v>#N/A</v>
      </c>
      <c r="AR168" s="10" t="e">
        <f t="shared" si="57"/>
        <v>#N/A</v>
      </c>
      <c r="BC168" s="29"/>
    </row>
    <row r="169" spans="2:55" x14ac:dyDescent="0.25">
      <c r="B169" s="41"/>
      <c r="C169" s="40"/>
      <c r="D169" s="63"/>
      <c r="E169" s="39"/>
      <c r="F169" s="60"/>
      <c r="G169" s="42" t="str">
        <f t="shared" si="63"/>
        <v/>
      </c>
      <c r="H169" s="45">
        <f t="shared" ca="1" si="58"/>
        <v>51</v>
      </c>
      <c r="I169" s="36">
        <f t="shared" ca="1" si="59"/>
        <v>0</v>
      </c>
      <c r="J169" s="36">
        <f t="shared" ca="1" si="60"/>
        <v>0</v>
      </c>
      <c r="L169" s="1">
        <f t="shared" ca="1" si="61"/>
        <v>0</v>
      </c>
      <c r="N169" s="21" t="str">
        <f t="shared" ca="1" si="62"/>
        <v/>
      </c>
      <c r="O169" s="22" t="str">
        <f t="shared" ca="1" si="62"/>
        <v/>
      </c>
      <c r="P169" s="22" t="str">
        <f t="shared" ca="1" si="62"/>
        <v/>
      </c>
      <c r="Q169" s="22" t="str">
        <f t="shared" ca="1" si="62"/>
        <v/>
      </c>
      <c r="R169" s="22" t="str">
        <f t="shared" ca="1" si="62"/>
        <v/>
      </c>
      <c r="S169" s="22" t="str">
        <f t="shared" ca="1" si="62"/>
        <v/>
      </c>
      <c r="T169" s="22" t="str">
        <f t="shared" ca="1" si="62"/>
        <v/>
      </c>
      <c r="U169" s="22" t="str">
        <f t="shared" ca="1" si="62"/>
        <v/>
      </c>
      <c r="V169" s="22" t="str">
        <f t="shared" ca="1" si="62"/>
        <v/>
      </c>
      <c r="W169" s="23" t="str">
        <f t="shared" ca="1" si="62"/>
        <v/>
      </c>
      <c r="Y169" s="21" t="str">
        <f t="shared" ca="1" si="49"/>
        <v/>
      </c>
      <c r="Z169" s="22" t="str">
        <f t="shared" ca="1" si="49"/>
        <v/>
      </c>
      <c r="AA169" s="22" t="str">
        <f t="shared" ca="1" si="49"/>
        <v/>
      </c>
      <c r="AB169" s="22" t="str">
        <f t="shared" ca="1" si="49"/>
        <v/>
      </c>
      <c r="AC169" s="22" t="str">
        <f t="shared" ca="1" si="49"/>
        <v/>
      </c>
      <c r="AD169" s="22" t="str">
        <f t="shared" ca="1" si="48"/>
        <v/>
      </c>
      <c r="AE169" s="22" t="str">
        <f t="shared" ca="1" si="48"/>
        <v/>
      </c>
      <c r="AF169" s="22" t="str">
        <f t="shared" ca="1" si="48"/>
        <v/>
      </c>
      <c r="AG169" s="22" t="str">
        <f t="shared" ca="1" si="48"/>
        <v/>
      </c>
      <c r="AH169" s="23" t="str">
        <f t="shared" ca="1" si="48"/>
        <v/>
      </c>
      <c r="AJ169" s="12" t="e">
        <f t="shared" si="50"/>
        <v>#N/A</v>
      </c>
      <c r="AK169" s="51" t="e">
        <f t="shared" si="51"/>
        <v>#N/A</v>
      </c>
      <c r="AL169" s="16" t="e">
        <f t="shared" si="52"/>
        <v>#N/A</v>
      </c>
      <c r="AM169" s="16" t="e">
        <f t="shared" si="53"/>
        <v>#N/A</v>
      </c>
      <c r="AN169" s="10" t="e">
        <f t="shared" ca="1" si="54"/>
        <v>#N/A</v>
      </c>
      <c r="AO169" s="10" t="e">
        <f t="shared" ca="1" si="55"/>
        <v>#N/A</v>
      </c>
      <c r="AP169" s="10" t="e">
        <f t="shared" si="56"/>
        <v>#N/A</v>
      </c>
      <c r="AQ169" s="10" t="e">
        <f t="shared" si="57"/>
        <v>#N/A</v>
      </c>
      <c r="AR169" s="10" t="e">
        <f t="shared" si="57"/>
        <v>#N/A</v>
      </c>
      <c r="BC169" s="29"/>
    </row>
    <row r="170" spans="2:55" x14ac:dyDescent="0.25">
      <c r="B170" s="41"/>
      <c r="C170" s="40"/>
      <c r="D170" s="63"/>
      <c r="E170" s="39"/>
      <c r="F170" s="60"/>
      <c r="G170" s="42" t="str">
        <f t="shared" si="63"/>
        <v/>
      </c>
      <c r="H170" s="45">
        <f t="shared" ca="1" si="58"/>
        <v>51</v>
      </c>
      <c r="I170" s="36">
        <f t="shared" ca="1" si="59"/>
        <v>0</v>
      </c>
      <c r="J170" s="36">
        <f t="shared" ca="1" si="60"/>
        <v>0</v>
      </c>
      <c r="L170" s="1">
        <f t="shared" ca="1" si="61"/>
        <v>0</v>
      </c>
      <c r="N170" s="21" t="str">
        <f t="shared" ca="1" si="62"/>
        <v/>
      </c>
      <c r="O170" s="22" t="str">
        <f t="shared" ca="1" si="62"/>
        <v/>
      </c>
      <c r="P170" s="22" t="str">
        <f t="shared" ca="1" si="62"/>
        <v/>
      </c>
      <c r="Q170" s="22" t="str">
        <f t="shared" ca="1" si="62"/>
        <v/>
      </c>
      <c r="R170" s="22" t="str">
        <f t="shared" ca="1" si="62"/>
        <v/>
      </c>
      <c r="S170" s="22" t="str">
        <f t="shared" ca="1" si="62"/>
        <v/>
      </c>
      <c r="T170" s="22" t="str">
        <f t="shared" ca="1" si="62"/>
        <v/>
      </c>
      <c r="U170" s="22" t="str">
        <f t="shared" ca="1" si="62"/>
        <v/>
      </c>
      <c r="V170" s="22" t="str">
        <f t="shared" ca="1" si="62"/>
        <v/>
      </c>
      <c r="W170" s="23" t="str">
        <f t="shared" ca="1" si="62"/>
        <v/>
      </c>
      <c r="Y170" s="21" t="str">
        <f t="shared" ca="1" si="49"/>
        <v/>
      </c>
      <c r="Z170" s="22" t="str">
        <f t="shared" ca="1" si="49"/>
        <v/>
      </c>
      <c r="AA170" s="22" t="str">
        <f t="shared" ca="1" si="49"/>
        <v/>
      </c>
      <c r="AB170" s="22" t="str">
        <f t="shared" ca="1" si="49"/>
        <v/>
      </c>
      <c r="AC170" s="22" t="str">
        <f t="shared" ca="1" si="49"/>
        <v/>
      </c>
      <c r="AD170" s="22" t="str">
        <f t="shared" ca="1" si="48"/>
        <v/>
      </c>
      <c r="AE170" s="22" t="str">
        <f t="shared" ca="1" si="48"/>
        <v/>
      </c>
      <c r="AF170" s="22" t="str">
        <f t="shared" ca="1" si="48"/>
        <v/>
      </c>
      <c r="AG170" s="22" t="str">
        <f t="shared" ca="1" si="48"/>
        <v/>
      </c>
      <c r="AH170" s="23" t="str">
        <f t="shared" ca="1" si="48"/>
        <v/>
      </c>
      <c r="AJ170" s="12" t="e">
        <f t="shared" si="50"/>
        <v>#N/A</v>
      </c>
      <c r="AK170" s="51" t="e">
        <f t="shared" si="51"/>
        <v>#N/A</v>
      </c>
      <c r="AL170" s="16" t="e">
        <f t="shared" si="52"/>
        <v>#N/A</v>
      </c>
      <c r="AM170" s="16" t="e">
        <f t="shared" si="53"/>
        <v>#N/A</v>
      </c>
      <c r="AN170" s="10" t="e">
        <f t="shared" ca="1" si="54"/>
        <v>#N/A</v>
      </c>
      <c r="AO170" s="10" t="e">
        <f t="shared" ca="1" si="55"/>
        <v>#N/A</v>
      </c>
      <c r="AP170" s="10" t="e">
        <f t="shared" si="56"/>
        <v>#N/A</v>
      </c>
      <c r="AQ170" s="10" t="e">
        <f t="shared" si="57"/>
        <v>#N/A</v>
      </c>
      <c r="AR170" s="10" t="e">
        <f t="shared" si="57"/>
        <v>#N/A</v>
      </c>
      <c r="BC170" s="29"/>
    </row>
    <row r="171" spans="2:55" x14ac:dyDescent="0.25">
      <c r="B171" s="41"/>
      <c r="C171" s="40"/>
      <c r="D171" s="63"/>
      <c r="E171" s="39"/>
      <c r="F171" s="60"/>
      <c r="G171" s="42" t="str">
        <f t="shared" si="63"/>
        <v/>
      </c>
      <c r="H171" s="45">
        <f t="shared" ca="1" si="58"/>
        <v>51</v>
      </c>
      <c r="I171" s="36">
        <f t="shared" ca="1" si="59"/>
        <v>0</v>
      </c>
      <c r="J171" s="36">
        <f t="shared" ca="1" si="60"/>
        <v>0</v>
      </c>
      <c r="L171" s="1">
        <f t="shared" ca="1" si="61"/>
        <v>0</v>
      </c>
      <c r="N171" s="21" t="str">
        <f t="shared" ref="N171:W186" ca="1" si="64">IF(ISNUMBER($C171),IF($G171&lt;=$C$9,IF($L171=N$25,$C171,""),IF(COUNT(INDIRECT(ADDRESS(ROW(N$26),COLUMN())&amp;":"&amp;ADDRESS(ROW()-1,COLUMN())))&gt;$C$13,"",IF($L171=N$25,$C171,""))),"")</f>
        <v/>
      </c>
      <c r="O171" s="22" t="str">
        <f t="shared" ca="1" si="64"/>
        <v/>
      </c>
      <c r="P171" s="22" t="str">
        <f t="shared" ca="1" si="64"/>
        <v/>
      </c>
      <c r="Q171" s="22" t="str">
        <f t="shared" ca="1" si="64"/>
        <v/>
      </c>
      <c r="R171" s="22" t="str">
        <f t="shared" ca="1" si="64"/>
        <v/>
      </c>
      <c r="S171" s="22" t="str">
        <f t="shared" ca="1" si="64"/>
        <v/>
      </c>
      <c r="T171" s="22" t="str">
        <f t="shared" ca="1" si="64"/>
        <v/>
      </c>
      <c r="U171" s="22" t="str">
        <f t="shared" ca="1" si="64"/>
        <v/>
      </c>
      <c r="V171" s="22" t="str">
        <f t="shared" ca="1" si="64"/>
        <v/>
      </c>
      <c r="W171" s="23" t="str">
        <f t="shared" ca="1" si="64"/>
        <v/>
      </c>
      <c r="Y171" s="21" t="str">
        <f t="shared" ca="1" si="49"/>
        <v/>
      </c>
      <c r="Z171" s="22" t="str">
        <f t="shared" ca="1" si="49"/>
        <v/>
      </c>
      <c r="AA171" s="22" t="str">
        <f t="shared" ca="1" si="49"/>
        <v/>
      </c>
      <c r="AB171" s="22" t="str">
        <f t="shared" ca="1" si="49"/>
        <v/>
      </c>
      <c r="AC171" s="22" t="str">
        <f t="shared" ca="1" si="49"/>
        <v/>
      </c>
      <c r="AD171" s="22" t="str">
        <f t="shared" ca="1" si="48"/>
        <v/>
      </c>
      <c r="AE171" s="22" t="str">
        <f t="shared" ca="1" si="48"/>
        <v/>
      </c>
      <c r="AF171" s="22" t="str">
        <f t="shared" ca="1" si="48"/>
        <v/>
      </c>
      <c r="AG171" s="22" t="str">
        <f t="shared" ca="1" si="48"/>
        <v/>
      </c>
      <c r="AH171" s="23" t="str">
        <f t="shared" ca="1" si="48"/>
        <v/>
      </c>
      <c r="AJ171" s="12" t="e">
        <f t="shared" si="50"/>
        <v>#N/A</v>
      </c>
      <c r="AK171" s="51" t="e">
        <f t="shared" si="51"/>
        <v>#N/A</v>
      </c>
      <c r="AL171" s="16" t="e">
        <f t="shared" si="52"/>
        <v>#N/A</v>
      </c>
      <c r="AM171" s="16" t="e">
        <f t="shared" si="53"/>
        <v>#N/A</v>
      </c>
      <c r="AN171" s="10" t="e">
        <f t="shared" ca="1" si="54"/>
        <v>#N/A</v>
      </c>
      <c r="AO171" s="10" t="e">
        <f t="shared" ca="1" si="55"/>
        <v>#N/A</v>
      </c>
      <c r="AP171" s="10" t="e">
        <f t="shared" si="56"/>
        <v>#N/A</v>
      </c>
      <c r="AQ171" s="10" t="e">
        <f t="shared" si="57"/>
        <v>#N/A</v>
      </c>
      <c r="AR171" s="10" t="e">
        <f t="shared" si="57"/>
        <v>#N/A</v>
      </c>
      <c r="BC171" s="29"/>
    </row>
    <row r="172" spans="2:55" x14ac:dyDescent="0.25">
      <c r="B172" s="41"/>
      <c r="C172" s="40"/>
      <c r="D172" s="63"/>
      <c r="E172" s="39"/>
      <c r="F172" s="60"/>
      <c r="G172" s="42" t="str">
        <f t="shared" si="63"/>
        <v/>
      </c>
      <c r="H172" s="45">
        <f t="shared" ca="1" si="58"/>
        <v>51</v>
      </c>
      <c r="I172" s="36">
        <f t="shared" ca="1" si="59"/>
        <v>0</v>
      </c>
      <c r="J172" s="36">
        <f t="shared" ca="1" si="60"/>
        <v>0</v>
      </c>
      <c r="L172" s="1">
        <f t="shared" ca="1" si="61"/>
        <v>0</v>
      </c>
      <c r="N172" s="21" t="str">
        <f t="shared" ca="1" si="64"/>
        <v/>
      </c>
      <c r="O172" s="22" t="str">
        <f t="shared" ca="1" si="64"/>
        <v/>
      </c>
      <c r="P172" s="22" t="str">
        <f t="shared" ca="1" si="64"/>
        <v/>
      </c>
      <c r="Q172" s="22" t="str">
        <f t="shared" ca="1" si="64"/>
        <v/>
      </c>
      <c r="R172" s="22" t="str">
        <f t="shared" ca="1" si="64"/>
        <v/>
      </c>
      <c r="S172" s="22" t="str">
        <f t="shared" ca="1" si="64"/>
        <v/>
      </c>
      <c r="T172" s="22" t="str">
        <f t="shared" ca="1" si="64"/>
        <v/>
      </c>
      <c r="U172" s="22" t="str">
        <f t="shared" ca="1" si="64"/>
        <v/>
      </c>
      <c r="V172" s="22" t="str">
        <f t="shared" ca="1" si="64"/>
        <v/>
      </c>
      <c r="W172" s="23" t="str">
        <f t="shared" ca="1" si="64"/>
        <v/>
      </c>
      <c r="Y172" s="21" t="str">
        <f t="shared" ca="1" si="49"/>
        <v/>
      </c>
      <c r="Z172" s="22" t="str">
        <f t="shared" ca="1" si="49"/>
        <v/>
      </c>
      <c r="AA172" s="22" t="str">
        <f t="shared" ca="1" si="49"/>
        <v/>
      </c>
      <c r="AB172" s="22" t="str">
        <f t="shared" ca="1" si="49"/>
        <v/>
      </c>
      <c r="AC172" s="22" t="str">
        <f t="shared" ca="1" si="49"/>
        <v/>
      </c>
      <c r="AD172" s="22" t="str">
        <f t="shared" ca="1" si="48"/>
        <v/>
      </c>
      <c r="AE172" s="22" t="str">
        <f t="shared" ca="1" si="48"/>
        <v/>
      </c>
      <c r="AF172" s="22" t="str">
        <f t="shared" ca="1" si="48"/>
        <v/>
      </c>
      <c r="AG172" s="22" t="str">
        <f t="shared" ca="1" si="48"/>
        <v/>
      </c>
      <c r="AH172" s="23" t="str">
        <f t="shared" ca="1" si="48"/>
        <v/>
      </c>
      <c r="AJ172" s="12" t="e">
        <f t="shared" si="50"/>
        <v>#N/A</v>
      </c>
      <c r="AK172" s="51" t="e">
        <f t="shared" si="51"/>
        <v>#N/A</v>
      </c>
      <c r="AL172" s="16" t="e">
        <f t="shared" si="52"/>
        <v>#N/A</v>
      </c>
      <c r="AM172" s="16" t="e">
        <f t="shared" si="53"/>
        <v>#N/A</v>
      </c>
      <c r="AN172" s="10" t="e">
        <f t="shared" ca="1" si="54"/>
        <v>#N/A</v>
      </c>
      <c r="AO172" s="10" t="e">
        <f t="shared" ca="1" si="55"/>
        <v>#N/A</v>
      </c>
      <c r="AP172" s="10" t="e">
        <f t="shared" si="56"/>
        <v>#N/A</v>
      </c>
      <c r="AQ172" s="10" t="e">
        <f t="shared" si="57"/>
        <v>#N/A</v>
      </c>
      <c r="AR172" s="10" t="e">
        <f t="shared" si="57"/>
        <v>#N/A</v>
      </c>
      <c r="BC172" s="29"/>
    </row>
    <row r="173" spans="2:55" x14ac:dyDescent="0.25">
      <c r="B173" s="41"/>
      <c r="C173" s="40"/>
      <c r="D173" s="63"/>
      <c r="E173" s="39"/>
      <c r="F173" s="60"/>
      <c r="G173" s="42" t="str">
        <f t="shared" si="63"/>
        <v/>
      </c>
      <c r="H173" s="45">
        <f t="shared" ca="1" si="58"/>
        <v>51</v>
      </c>
      <c r="I173" s="36">
        <f t="shared" ca="1" si="59"/>
        <v>0</v>
      </c>
      <c r="J173" s="36">
        <f t="shared" ca="1" si="60"/>
        <v>0</v>
      </c>
      <c r="L173" s="1">
        <f t="shared" ca="1" si="61"/>
        <v>0</v>
      </c>
      <c r="N173" s="21" t="str">
        <f t="shared" ca="1" si="64"/>
        <v/>
      </c>
      <c r="O173" s="22" t="str">
        <f t="shared" ca="1" si="64"/>
        <v/>
      </c>
      <c r="P173" s="22" t="str">
        <f t="shared" ca="1" si="64"/>
        <v/>
      </c>
      <c r="Q173" s="22" t="str">
        <f t="shared" ca="1" si="64"/>
        <v/>
      </c>
      <c r="R173" s="22" t="str">
        <f t="shared" ca="1" si="64"/>
        <v/>
      </c>
      <c r="S173" s="22" t="str">
        <f t="shared" ca="1" si="64"/>
        <v/>
      </c>
      <c r="T173" s="22" t="str">
        <f t="shared" ca="1" si="64"/>
        <v/>
      </c>
      <c r="U173" s="22" t="str">
        <f t="shared" ca="1" si="64"/>
        <v/>
      </c>
      <c r="V173" s="22" t="str">
        <f t="shared" ca="1" si="64"/>
        <v/>
      </c>
      <c r="W173" s="23" t="str">
        <f t="shared" ca="1" si="64"/>
        <v/>
      </c>
      <c r="Y173" s="21" t="str">
        <f t="shared" ca="1" si="49"/>
        <v/>
      </c>
      <c r="Z173" s="22" t="str">
        <f t="shared" ca="1" si="49"/>
        <v/>
      </c>
      <c r="AA173" s="22" t="str">
        <f t="shared" ca="1" si="49"/>
        <v/>
      </c>
      <c r="AB173" s="22" t="str">
        <f t="shared" ca="1" si="49"/>
        <v/>
      </c>
      <c r="AC173" s="22" t="str">
        <f t="shared" ca="1" si="49"/>
        <v/>
      </c>
      <c r="AD173" s="22" t="str">
        <f t="shared" ca="1" si="48"/>
        <v/>
      </c>
      <c r="AE173" s="22" t="str">
        <f t="shared" ca="1" si="48"/>
        <v/>
      </c>
      <c r="AF173" s="22" t="str">
        <f t="shared" ca="1" si="48"/>
        <v/>
      </c>
      <c r="AG173" s="22" t="str">
        <f t="shared" ca="1" si="48"/>
        <v/>
      </c>
      <c r="AH173" s="23" t="str">
        <f t="shared" ca="1" si="48"/>
        <v/>
      </c>
      <c r="AJ173" s="12" t="e">
        <f t="shared" si="50"/>
        <v>#N/A</v>
      </c>
      <c r="AK173" s="51" t="e">
        <f t="shared" si="51"/>
        <v>#N/A</v>
      </c>
      <c r="AL173" s="16" t="e">
        <f t="shared" si="52"/>
        <v>#N/A</v>
      </c>
      <c r="AM173" s="16" t="e">
        <f t="shared" si="53"/>
        <v>#N/A</v>
      </c>
      <c r="AN173" s="10" t="e">
        <f t="shared" ca="1" si="54"/>
        <v>#N/A</v>
      </c>
      <c r="AO173" s="10" t="e">
        <f t="shared" ca="1" si="55"/>
        <v>#N/A</v>
      </c>
      <c r="AP173" s="10" t="e">
        <f t="shared" si="56"/>
        <v>#N/A</v>
      </c>
      <c r="AQ173" s="10" t="e">
        <f t="shared" si="57"/>
        <v>#N/A</v>
      </c>
      <c r="AR173" s="10" t="e">
        <f t="shared" si="57"/>
        <v>#N/A</v>
      </c>
      <c r="BC173" s="29"/>
    </row>
    <row r="174" spans="2:55" x14ac:dyDescent="0.25">
      <c r="B174" s="41"/>
      <c r="C174" s="40"/>
      <c r="D174" s="63"/>
      <c r="E174" s="39"/>
      <c r="F174" s="60"/>
      <c r="G174" s="42" t="str">
        <f t="shared" si="63"/>
        <v/>
      </c>
      <c r="H174" s="45">
        <f t="shared" ca="1" si="58"/>
        <v>51</v>
      </c>
      <c r="I174" s="36">
        <f t="shared" ca="1" si="59"/>
        <v>0</v>
      </c>
      <c r="J174" s="36">
        <f t="shared" ca="1" si="60"/>
        <v>0</v>
      </c>
      <c r="L174" s="1">
        <f t="shared" ca="1" si="61"/>
        <v>0</v>
      </c>
      <c r="N174" s="21" t="str">
        <f t="shared" ca="1" si="64"/>
        <v/>
      </c>
      <c r="O174" s="22" t="str">
        <f t="shared" ca="1" si="64"/>
        <v/>
      </c>
      <c r="P174" s="22" t="str">
        <f t="shared" ca="1" si="64"/>
        <v/>
      </c>
      <c r="Q174" s="22" t="str">
        <f t="shared" ca="1" si="64"/>
        <v/>
      </c>
      <c r="R174" s="22" t="str">
        <f t="shared" ca="1" si="64"/>
        <v/>
      </c>
      <c r="S174" s="22" t="str">
        <f t="shared" ca="1" si="64"/>
        <v/>
      </c>
      <c r="T174" s="22" t="str">
        <f t="shared" ca="1" si="64"/>
        <v/>
      </c>
      <c r="U174" s="22" t="str">
        <f t="shared" ca="1" si="64"/>
        <v/>
      </c>
      <c r="V174" s="22" t="str">
        <f t="shared" ca="1" si="64"/>
        <v/>
      </c>
      <c r="W174" s="23" t="str">
        <f t="shared" ca="1" si="64"/>
        <v/>
      </c>
      <c r="Y174" s="21" t="str">
        <f t="shared" ca="1" si="49"/>
        <v/>
      </c>
      <c r="Z174" s="22" t="str">
        <f t="shared" ca="1" si="49"/>
        <v/>
      </c>
      <c r="AA174" s="22" t="str">
        <f t="shared" ca="1" si="49"/>
        <v/>
      </c>
      <c r="AB174" s="22" t="str">
        <f t="shared" ca="1" si="49"/>
        <v/>
      </c>
      <c r="AC174" s="22" t="str">
        <f t="shared" ca="1" si="49"/>
        <v/>
      </c>
      <c r="AD174" s="22" t="str">
        <f t="shared" ca="1" si="48"/>
        <v/>
      </c>
      <c r="AE174" s="22" t="str">
        <f t="shared" ca="1" si="48"/>
        <v/>
      </c>
      <c r="AF174" s="22" t="str">
        <f t="shared" ca="1" si="48"/>
        <v/>
      </c>
      <c r="AG174" s="22" t="str">
        <f t="shared" ca="1" si="48"/>
        <v/>
      </c>
      <c r="AH174" s="23" t="str">
        <f t="shared" ca="1" si="48"/>
        <v/>
      </c>
      <c r="AJ174" s="12" t="e">
        <f t="shared" si="50"/>
        <v>#N/A</v>
      </c>
      <c r="AK174" s="51" t="e">
        <f t="shared" si="51"/>
        <v>#N/A</v>
      </c>
      <c r="AL174" s="16" t="e">
        <f t="shared" si="52"/>
        <v>#N/A</v>
      </c>
      <c r="AM174" s="16" t="e">
        <f t="shared" si="53"/>
        <v>#N/A</v>
      </c>
      <c r="AN174" s="10" t="e">
        <f t="shared" ca="1" si="54"/>
        <v>#N/A</v>
      </c>
      <c r="AO174" s="10" t="e">
        <f t="shared" ca="1" si="55"/>
        <v>#N/A</v>
      </c>
      <c r="AP174" s="10" t="e">
        <f t="shared" si="56"/>
        <v>#N/A</v>
      </c>
      <c r="AQ174" s="10" t="e">
        <f t="shared" si="57"/>
        <v>#N/A</v>
      </c>
      <c r="AR174" s="10" t="e">
        <f t="shared" si="57"/>
        <v>#N/A</v>
      </c>
      <c r="BC174" s="29"/>
    </row>
    <row r="175" spans="2:55" x14ac:dyDescent="0.25">
      <c r="B175" s="41"/>
      <c r="C175" s="40"/>
      <c r="D175" s="63"/>
      <c r="E175" s="39"/>
      <c r="F175" s="60"/>
      <c r="G175" s="42" t="str">
        <f t="shared" si="63"/>
        <v/>
      </c>
      <c r="H175" s="45">
        <f t="shared" ca="1" si="58"/>
        <v>51</v>
      </c>
      <c r="I175" s="36">
        <f t="shared" ca="1" si="59"/>
        <v>0</v>
      </c>
      <c r="J175" s="36">
        <f t="shared" ca="1" si="60"/>
        <v>0</v>
      </c>
      <c r="L175" s="1">
        <f t="shared" ca="1" si="61"/>
        <v>0</v>
      </c>
      <c r="N175" s="21" t="str">
        <f t="shared" ca="1" si="64"/>
        <v/>
      </c>
      <c r="O175" s="22" t="str">
        <f t="shared" ca="1" si="64"/>
        <v/>
      </c>
      <c r="P175" s="22" t="str">
        <f t="shared" ca="1" si="64"/>
        <v/>
      </c>
      <c r="Q175" s="22" t="str">
        <f t="shared" ca="1" si="64"/>
        <v/>
      </c>
      <c r="R175" s="22" t="str">
        <f t="shared" ca="1" si="64"/>
        <v/>
      </c>
      <c r="S175" s="22" t="str">
        <f t="shared" ca="1" si="64"/>
        <v/>
      </c>
      <c r="T175" s="22" t="str">
        <f t="shared" ca="1" si="64"/>
        <v/>
      </c>
      <c r="U175" s="22" t="str">
        <f t="shared" ca="1" si="64"/>
        <v/>
      </c>
      <c r="V175" s="22" t="str">
        <f t="shared" ca="1" si="64"/>
        <v/>
      </c>
      <c r="W175" s="23" t="str">
        <f t="shared" ca="1" si="64"/>
        <v/>
      </c>
      <c r="Y175" s="21" t="str">
        <f t="shared" ca="1" si="49"/>
        <v/>
      </c>
      <c r="Z175" s="22" t="str">
        <f t="shared" ca="1" si="49"/>
        <v/>
      </c>
      <c r="AA175" s="22" t="str">
        <f t="shared" ca="1" si="49"/>
        <v/>
      </c>
      <c r="AB175" s="22" t="str">
        <f t="shared" ca="1" si="49"/>
        <v/>
      </c>
      <c r="AC175" s="22" t="str">
        <f t="shared" ca="1" si="49"/>
        <v/>
      </c>
      <c r="AD175" s="22" t="str">
        <f t="shared" ca="1" si="48"/>
        <v/>
      </c>
      <c r="AE175" s="22" t="str">
        <f t="shared" ca="1" si="48"/>
        <v/>
      </c>
      <c r="AF175" s="22" t="str">
        <f t="shared" ca="1" si="48"/>
        <v/>
      </c>
      <c r="AG175" s="22" t="str">
        <f t="shared" ca="1" si="48"/>
        <v/>
      </c>
      <c r="AH175" s="23" t="str">
        <f t="shared" ca="1" si="48"/>
        <v/>
      </c>
      <c r="AJ175" s="12" t="e">
        <f t="shared" si="50"/>
        <v>#N/A</v>
      </c>
      <c r="AK175" s="51" t="e">
        <f t="shared" si="51"/>
        <v>#N/A</v>
      </c>
      <c r="AL175" s="16" t="e">
        <f t="shared" si="52"/>
        <v>#N/A</v>
      </c>
      <c r="AM175" s="16" t="e">
        <f t="shared" si="53"/>
        <v>#N/A</v>
      </c>
      <c r="AN175" s="10" t="e">
        <f t="shared" ca="1" si="54"/>
        <v>#N/A</v>
      </c>
      <c r="AO175" s="10" t="e">
        <f t="shared" ca="1" si="55"/>
        <v>#N/A</v>
      </c>
      <c r="AP175" s="10" t="e">
        <f t="shared" si="56"/>
        <v>#N/A</v>
      </c>
      <c r="AQ175" s="10" t="e">
        <f t="shared" si="57"/>
        <v>#N/A</v>
      </c>
      <c r="AR175" s="10" t="e">
        <f t="shared" si="57"/>
        <v>#N/A</v>
      </c>
      <c r="BC175" s="29"/>
    </row>
    <row r="176" spans="2:55" x14ac:dyDescent="0.25">
      <c r="B176" s="41"/>
      <c r="C176" s="40"/>
      <c r="D176" s="63"/>
      <c r="E176" s="39"/>
      <c r="F176" s="60"/>
      <c r="G176" s="42" t="str">
        <f t="shared" si="63"/>
        <v/>
      </c>
      <c r="H176" s="45">
        <f t="shared" ca="1" si="58"/>
        <v>51</v>
      </c>
      <c r="I176" s="36">
        <f t="shared" ca="1" si="59"/>
        <v>0</v>
      </c>
      <c r="J176" s="36">
        <f t="shared" ca="1" si="60"/>
        <v>0</v>
      </c>
      <c r="L176" s="1">
        <f t="shared" ca="1" si="61"/>
        <v>0</v>
      </c>
      <c r="N176" s="21" t="str">
        <f t="shared" ca="1" si="64"/>
        <v/>
      </c>
      <c r="O176" s="22" t="str">
        <f t="shared" ca="1" si="64"/>
        <v/>
      </c>
      <c r="P176" s="22" t="str">
        <f t="shared" ca="1" si="64"/>
        <v/>
      </c>
      <c r="Q176" s="22" t="str">
        <f t="shared" ca="1" si="64"/>
        <v/>
      </c>
      <c r="R176" s="22" t="str">
        <f t="shared" ca="1" si="64"/>
        <v/>
      </c>
      <c r="S176" s="22" t="str">
        <f t="shared" ca="1" si="64"/>
        <v/>
      </c>
      <c r="T176" s="22" t="str">
        <f t="shared" ca="1" si="64"/>
        <v/>
      </c>
      <c r="U176" s="22" t="str">
        <f t="shared" ca="1" si="64"/>
        <v/>
      </c>
      <c r="V176" s="22" t="str">
        <f t="shared" ca="1" si="64"/>
        <v/>
      </c>
      <c r="W176" s="23" t="str">
        <f t="shared" ca="1" si="64"/>
        <v/>
      </c>
      <c r="Y176" s="21" t="str">
        <f t="shared" ca="1" si="49"/>
        <v/>
      </c>
      <c r="Z176" s="22" t="str">
        <f t="shared" ca="1" si="49"/>
        <v/>
      </c>
      <c r="AA176" s="22" t="str">
        <f t="shared" ca="1" si="49"/>
        <v/>
      </c>
      <c r="AB176" s="22" t="str">
        <f t="shared" ca="1" si="49"/>
        <v/>
      </c>
      <c r="AC176" s="22" t="str">
        <f t="shared" ca="1" si="49"/>
        <v/>
      </c>
      <c r="AD176" s="22" t="str">
        <f t="shared" ca="1" si="48"/>
        <v/>
      </c>
      <c r="AE176" s="22" t="str">
        <f t="shared" ca="1" si="48"/>
        <v/>
      </c>
      <c r="AF176" s="22" t="str">
        <f t="shared" ca="1" si="48"/>
        <v/>
      </c>
      <c r="AG176" s="22" t="str">
        <f t="shared" ca="1" si="48"/>
        <v/>
      </c>
      <c r="AH176" s="23" t="str">
        <f t="shared" ca="1" si="48"/>
        <v/>
      </c>
      <c r="AJ176" s="12" t="e">
        <f t="shared" si="50"/>
        <v>#N/A</v>
      </c>
      <c r="AK176" s="51" t="e">
        <f t="shared" si="51"/>
        <v>#N/A</v>
      </c>
      <c r="AL176" s="16" t="e">
        <f t="shared" si="52"/>
        <v>#N/A</v>
      </c>
      <c r="AM176" s="16" t="e">
        <f t="shared" si="53"/>
        <v>#N/A</v>
      </c>
      <c r="AN176" s="10" t="e">
        <f t="shared" ca="1" si="54"/>
        <v>#N/A</v>
      </c>
      <c r="AO176" s="10" t="e">
        <f t="shared" ca="1" si="55"/>
        <v>#N/A</v>
      </c>
      <c r="AP176" s="10" t="e">
        <f t="shared" si="56"/>
        <v>#N/A</v>
      </c>
      <c r="AQ176" s="10" t="e">
        <f t="shared" si="57"/>
        <v>#N/A</v>
      </c>
      <c r="AR176" s="10" t="e">
        <f t="shared" si="57"/>
        <v>#N/A</v>
      </c>
      <c r="BC176" s="29"/>
    </row>
    <row r="177" spans="2:55" x14ac:dyDescent="0.25">
      <c r="B177" s="41"/>
      <c r="C177" s="40"/>
      <c r="D177" s="63"/>
      <c r="E177" s="39"/>
      <c r="F177" s="60"/>
      <c r="G177" s="42" t="str">
        <f t="shared" si="63"/>
        <v/>
      </c>
      <c r="H177" s="45">
        <f t="shared" ca="1" si="58"/>
        <v>51</v>
      </c>
      <c r="I177" s="36">
        <f t="shared" ca="1" si="59"/>
        <v>0</v>
      </c>
      <c r="J177" s="36">
        <f t="shared" ca="1" si="60"/>
        <v>0</v>
      </c>
      <c r="L177" s="1">
        <f t="shared" ca="1" si="61"/>
        <v>0</v>
      </c>
      <c r="N177" s="21" t="str">
        <f t="shared" ca="1" si="64"/>
        <v/>
      </c>
      <c r="O177" s="22" t="str">
        <f t="shared" ca="1" si="64"/>
        <v/>
      </c>
      <c r="P177" s="22" t="str">
        <f t="shared" ca="1" si="64"/>
        <v/>
      </c>
      <c r="Q177" s="22" t="str">
        <f t="shared" ca="1" si="64"/>
        <v/>
      </c>
      <c r="R177" s="22" t="str">
        <f t="shared" ca="1" si="64"/>
        <v/>
      </c>
      <c r="S177" s="22" t="str">
        <f t="shared" ca="1" si="64"/>
        <v/>
      </c>
      <c r="T177" s="22" t="str">
        <f t="shared" ca="1" si="64"/>
        <v/>
      </c>
      <c r="U177" s="22" t="str">
        <f t="shared" ca="1" si="64"/>
        <v/>
      </c>
      <c r="V177" s="22" t="str">
        <f t="shared" ca="1" si="64"/>
        <v/>
      </c>
      <c r="W177" s="23" t="str">
        <f t="shared" ca="1" si="64"/>
        <v/>
      </c>
      <c r="Y177" s="21" t="str">
        <f t="shared" ca="1" si="49"/>
        <v/>
      </c>
      <c r="Z177" s="22" t="str">
        <f t="shared" ca="1" si="49"/>
        <v/>
      </c>
      <c r="AA177" s="22" t="str">
        <f t="shared" ca="1" si="49"/>
        <v/>
      </c>
      <c r="AB177" s="22" t="str">
        <f t="shared" ca="1" si="49"/>
        <v/>
      </c>
      <c r="AC177" s="22" t="str">
        <f t="shared" ca="1" si="49"/>
        <v/>
      </c>
      <c r="AD177" s="22" t="str">
        <f t="shared" ca="1" si="48"/>
        <v/>
      </c>
      <c r="AE177" s="22" t="str">
        <f t="shared" ca="1" si="48"/>
        <v/>
      </c>
      <c r="AF177" s="22" t="str">
        <f t="shared" ca="1" si="48"/>
        <v/>
      </c>
      <c r="AG177" s="22" t="str">
        <f t="shared" ca="1" si="48"/>
        <v/>
      </c>
      <c r="AH177" s="23" t="str">
        <f t="shared" ca="1" si="48"/>
        <v/>
      </c>
      <c r="AJ177" s="12" t="e">
        <f t="shared" si="50"/>
        <v>#N/A</v>
      </c>
      <c r="AK177" s="51" t="e">
        <f t="shared" si="51"/>
        <v>#N/A</v>
      </c>
      <c r="AL177" s="16" t="e">
        <f t="shared" si="52"/>
        <v>#N/A</v>
      </c>
      <c r="AM177" s="16" t="e">
        <f t="shared" si="53"/>
        <v>#N/A</v>
      </c>
      <c r="AN177" s="10" t="e">
        <f t="shared" ca="1" si="54"/>
        <v>#N/A</v>
      </c>
      <c r="AO177" s="10" t="e">
        <f t="shared" ca="1" si="55"/>
        <v>#N/A</v>
      </c>
      <c r="AP177" s="10" t="e">
        <f t="shared" si="56"/>
        <v>#N/A</v>
      </c>
      <c r="AQ177" s="10" t="e">
        <f t="shared" si="57"/>
        <v>#N/A</v>
      </c>
      <c r="AR177" s="10" t="e">
        <f t="shared" si="57"/>
        <v>#N/A</v>
      </c>
      <c r="BC177" s="29"/>
    </row>
    <row r="178" spans="2:55" x14ac:dyDescent="0.25">
      <c r="B178" s="41"/>
      <c r="C178" s="40"/>
      <c r="D178" s="63"/>
      <c r="E178" s="39"/>
      <c r="F178" s="60"/>
      <c r="G178" s="42" t="str">
        <f t="shared" si="63"/>
        <v/>
      </c>
      <c r="H178" s="45">
        <f t="shared" ca="1" si="58"/>
        <v>51</v>
      </c>
      <c r="I178" s="36">
        <f t="shared" ca="1" si="59"/>
        <v>0</v>
      </c>
      <c r="J178" s="36">
        <f t="shared" ca="1" si="60"/>
        <v>0</v>
      </c>
      <c r="L178" s="1">
        <f t="shared" ca="1" si="61"/>
        <v>0</v>
      </c>
      <c r="N178" s="21" t="str">
        <f t="shared" ca="1" si="64"/>
        <v/>
      </c>
      <c r="O178" s="22" t="str">
        <f t="shared" ca="1" si="64"/>
        <v/>
      </c>
      <c r="P178" s="22" t="str">
        <f t="shared" ca="1" si="64"/>
        <v/>
      </c>
      <c r="Q178" s="22" t="str">
        <f t="shared" ca="1" si="64"/>
        <v/>
      </c>
      <c r="R178" s="22" t="str">
        <f t="shared" ca="1" si="64"/>
        <v/>
      </c>
      <c r="S178" s="22" t="str">
        <f t="shared" ca="1" si="64"/>
        <v/>
      </c>
      <c r="T178" s="22" t="str">
        <f t="shared" ca="1" si="64"/>
        <v/>
      </c>
      <c r="U178" s="22" t="str">
        <f t="shared" ca="1" si="64"/>
        <v/>
      </c>
      <c r="V178" s="22" t="str">
        <f t="shared" ca="1" si="64"/>
        <v/>
      </c>
      <c r="W178" s="23" t="str">
        <f t="shared" ca="1" si="64"/>
        <v/>
      </c>
      <c r="Y178" s="21" t="str">
        <f t="shared" ca="1" si="49"/>
        <v/>
      </c>
      <c r="Z178" s="22" t="str">
        <f t="shared" ca="1" si="49"/>
        <v/>
      </c>
      <c r="AA178" s="22" t="str">
        <f t="shared" ca="1" si="49"/>
        <v/>
      </c>
      <c r="AB178" s="22" t="str">
        <f t="shared" ca="1" si="49"/>
        <v/>
      </c>
      <c r="AC178" s="22" t="str">
        <f t="shared" ca="1" si="49"/>
        <v/>
      </c>
      <c r="AD178" s="22" t="str">
        <f t="shared" ca="1" si="48"/>
        <v/>
      </c>
      <c r="AE178" s="22" t="str">
        <f t="shared" ca="1" si="48"/>
        <v/>
      </c>
      <c r="AF178" s="22" t="str">
        <f t="shared" ca="1" si="48"/>
        <v/>
      </c>
      <c r="AG178" s="22" t="str">
        <f t="shared" ca="1" si="48"/>
        <v/>
      </c>
      <c r="AH178" s="23" t="str">
        <f t="shared" ca="1" si="48"/>
        <v/>
      </c>
      <c r="AJ178" s="12" t="e">
        <f t="shared" si="50"/>
        <v>#N/A</v>
      </c>
      <c r="AK178" s="51" t="e">
        <f t="shared" si="51"/>
        <v>#N/A</v>
      </c>
      <c r="AL178" s="16" t="e">
        <f t="shared" si="52"/>
        <v>#N/A</v>
      </c>
      <c r="AM178" s="16" t="e">
        <f t="shared" si="53"/>
        <v>#N/A</v>
      </c>
      <c r="AN178" s="10" t="e">
        <f t="shared" ca="1" si="54"/>
        <v>#N/A</v>
      </c>
      <c r="AO178" s="10" t="e">
        <f t="shared" ca="1" si="55"/>
        <v>#N/A</v>
      </c>
      <c r="AP178" s="10" t="e">
        <f t="shared" si="56"/>
        <v>#N/A</v>
      </c>
      <c r="AQ178" s="10" t="e">
        <f t="shared" si="57"/>
        <v>#N/A</v>
      </c>
      <c r="AR178" s="10" t="e">
        <f t="shared" si="57"/>
        <v>#N/A</v>
      </c>
      <c r="BC178" s="29"/>
    </row>
    <row r="179" spans="2:55" x14ac:dyDescent="0.25">
      <c r="B179" s="41"/>
      <c r="C179" s="40"/>
      <c r="D179" s="63"/>
      <c r="E179" s="39"/>
      <c r="F179" s="60"/>
      <c r="G179" s="42" t="str">
        <f t="shared" si="63"/>
        <v/>
      </c>
      <c r="H179" s="45">
        <f t="shared" ca="1" si="58"/>
        <v>51</v>
      </c>
      <c r="I179" s="36">
        <f t="shared" ca="1" si="59"/>
        <v>0</v>
      </c>
      <c r="J179" s="36">
        <f t="shared" ca="1" si="60"/>
        <v>0</v>
      </c>
      <c r="L179" s="1">
        <f t="shared" ca="1" si="61"/>
        <v>0</v>
      </c>
      <c r="N179" s="21" t="str">
        <f t="shared" ca="1" si="64"/>
        <v/>
      </c>
      <c r="O179" s="22" t="str">
        <f t="shared" ca="1" si="64"/>
        <v/>
      </c>
      <c r="P179" s="22" t="str">
        <f t="shared" ca="1" si="64"/>
        <v/>
      </c>
      <c r="Q179" s="22" t="str">
        <f t="shared" ca="1" si="64"/>
        <v/>
      </c>
      <c r="R179" s="22" t="str">
        <f t="shared" ca="1" si="64"/>
        <v/>
      </c>
      <c r="S179" s="22" t="str">
        <f t="shared" ca="1" si="64"/>
        <v/>
      </c>
      <c r="T179" s="22" t="str">
        <f t="shared" ca="1" si="64"/>
        <v/>
      </c>
      <c r="U179" s="22" t="str">
        <f t="shared" ca="1" si="64"/>
        <v/>
      </c>
      <c r="V179" s="22" t="str">
        <f t="shared" ca="1" si="64"/>
        <v/>
      </c>
      <c r="W179" s="23" t="str">
        <f t="shared" ca="1" si="64"/>
        <v/>
      </c>
      <c r="Y179" s="21" t="str">
        <f t="shared" ca="1" si="49"/>
        <v/>
      </c>
      <c r="Z179" s="22" t="str">
        <f t="shared" ca="1" si="49"/>
        <v/>
      </c>
      <c r="AA179" s="22" t="str">
        <f t="shared" ca="1" si="49"/>
        <v/>
      </c>
      <c r="AB179" s="22" t="str">
        <f t="shared" ca="1" si="49"/>
        <v/>
      </c>
      <c r="AC179" s="22" t="str">
        <f t="shared" ca="1" si="49"/>
        <v/>
      </c>
      <c r="AD179" s="22" t="str">
        <f t="shared" ca="1" si="48"/>
        <v/>
      </c>
      <c r="AE179" s="22" t="str">
        <f t="shared" ca="1" si="48"/>
        <v/>
      </c>
      <c r="AF179" s="22" t="str">
        <f t="shared" ca="1" si="48"/>
        <v/>
      </c>
      <c r="AG179" s="22" t="str">
        <f t="shared" ca="1" si="48"/>
        <v/>
      </c>
      <c r="AH179" s="23" t="str">
        <f t="shared" ca="1" si="48"/>
        <v/>
      </c>
      <c r="AJ179" s="12" t="e">
        <f t="shared" si="50"/>
        <v>#N/A</v>
      </c>
      <c r="AK179" s="51" t="e">
        <f t="shared" si="51"/>
        <v>#N/A</v>
      </c>
      <c r="AL179" s="16" t="e">
        <f t="shared" si="52"/>
        <v>#N/A</v>
      </c>
      <c r="AM179" s="16" t="e">
        <f t="shared" si="53"/>
        <v>#N/A</v>
      </c>
      <c r="AN179" s="10" t="e">
        <f t="shared" ca="1" si="54"/>
        <v>#N/A</v>
      </c>
      <c r="AO179" s="10" t="e">
        <f t="shared" ca="1" si="55"/>
        <v>#N/A</v>
      </c>
      <c r="AP179" s="10" t="e">
        <f t="shared" si="56"/>
        <v>#N/A</v>
      </c>
      <c r="AQ179" s="10" t="e">
        <f t="shared" si="57"/>
        <v>#N/A</v>
      </c>
      <c r="AR179" s="10" t="e">
        <f t="shared" si="57"/>
        <v>#N/A</v>
      </c>
      <c r="BC179" s="29"/>
    </row>
    <row r="180" spans="2:55" x14ac:dyDescent="0.25">
      <c r="B180" s="41"/>
      <c r="C180" s="40"/>
      <c r="D180" s="63"/>
      <c r="E180" s="39"/>
      <c r="F180" s="60"/>
      <c r="G180" s="42" t="str">
        <f t="shared" si="63"/>
        <v/>
      </c>
      <c r="H180" s="45">
        <f t="shared" ca="1" si="58"/>
        <v>51</v>
      </c>
      <c r="I180" s="36">
        <f t="shared" ca="1" si="59"/>
        <v>0</v>
      </c>
      <c r="J180" s="36">
        <f t="shared" ca="1" si="60"/>
        <v>0</v>
      </c>
      <c r="L180" s="1">
        <f t="shared" ca="1" si="61"/>
        <v>0</v>
      </c>
      <c r="N180" s="21" t="str">
        <f t="shared" ca="1" si="64"/>
        <v/>
      </c>
      <c r="O180" s="22" t="str">
        <f t="shared" ca="1" si="64"/>
        <v/>
      </c>
      <c r="P180" s="22" t="str">
        <f t="shared" ca="1" si="64"/>
        <v/>
      </c>
      <c r="Q180" s="22" t="str">
        <f t="shared" ca="1" si="64"/>
        <v/>
      </c>
      <c r="R180" s="22" t="str">
        <f t="shared" ca="1" si="64"/>
        <v/>
      </c>
      <c r="S180" s="22" t="str">
        <f t="shared" ca="1" si="64"/>
        <v/>
      </c>
      <c r="T180" s="22" t="str">
        <f t="shared" ca="1" si="64"/>
        <v/>
      </c>
      <c r="U180" s="22" t="str">
        <f t="shared" ca="1" si="64"/>
        <v/>
      </c>
      <c r="V180" s="22" t="str">
        <f t="shared" ca="1" si="64"/>
        <v/>
      </c>
      <c r="W180" s="23" t="str">
        <f t="shared" ca="1" si="64"/>
        <v/>
      </c>
      <c r="Y180" s="21" t="str">
        <f t="shared" ca="1" si="49"/>
        <v/>
      </c>
      <c r="Z180" s="22" t="str">
        <f t="shared" ca="1" si="49"/>
        <v/>
      </c>
      <c r="AA180" s="22" t="str">
        <f t="shared" ca="1" si="49"/>
        <v/>
      </c>
      <c r="AB180" s="22" t="str">
        <f t="shared" ca="1" si="49"/>
        <v/>
      </c>
      <c r="AC180" s="22" t="str">
        <f t="shared" ca="1" si="49"/>
        <v/>
      </c>
      <c r="AD180" s="22" t="str">
        <f t="shared" ca="1" si="48"/>
        <v/>
      </c>
      <c r="AE180" s="22" t="str">
        <f t="shared" ca="1" si="48"/>
        <v/>
      </c>
      <c r="AF180" s="22" t="str">
        <f t="shared" ca="1" si="48"/>
        <v/>
      </c>
      <c r="AG180" s="22" t="str">
        <f t="shared" ca="1" si="48"/>
        <v/>
      </c>
      <c r="AH180" s="23" t="str">
        <f t="shared" ca="1" si="48"/>
        <v/>
      </c>
      <c r="AJ180" s="12" t="e">
        <f t="shared" si="50"/>
        <v>#N/A</v>
      </c>
      <c r="AK180" s="51" t="e">
        <f t="shared" si="51"/>
        <v>#N/A</v>
      </c>
      <c r="AL180" s="16" t="e">
        <f t="shared" si="52"/>
        <v>#N/A</v>
      </c>
      <c r="AM180" s="16" t="e">
        <f t="shared" si="53"/>
        <v>#N/A</v>
      </c>
      <c r="AN180" s="10" t="e">
        <f t="shared" ca="1" si="54"/>
        <v>#N/A</v>
      </c>
      <c r="AO180" s="10" t="e">
        <f t="shared" ca="1" si="55"/>
        <v>#N/A</v>
      </c>
      <c r="AP180" s="10" t="e">
        <f t="shared" si="56"/>
        <v>#N/A</v>
      </c>
      <c r="AQ180" s="10" t="e">
        <f t="shared" si="57"/>
        <v>#N/A</v>
      </c>
      <c r="AR180" s="10" t="e">
        <f t="shared" si="57"/>
        <v>#N/A</v>
      </c>
      <c r="BC180" s="29"/>
    </row>
    <row r="181" spans="2:55" x14ac:dyDescent="0.25">
      <c r="B181" s="41"/>
      <c r="C181" s="40"/>
      <c r="D181" s="63"/>
      <c r="E181" s="39"/>
      <c r="F181" s="60"/>
      <c r="G181" s="42" t="str">
        <f t="shared" si="63"/>
        <v/>
      </c>
      <c r="H181" s="45">
        <f t="shared" ca="1" si="58"/>
        <v>51</v>
      </c>
      <c r="I181" s="36">
        <f t="shared" ca="1" si="59"/>
        <v>0</v>
      </c>
      <c r="J181" s="36">
        <f t="shared" ca="1" si="60"/>
        <v>0</v>
      </c>
      <c r="L181" s="1">
        <f t="shared" ca="1" si="61"/>
        <v>0</v>
      </c>
      <c r="N181" s="21" t="str">
        <f t="shared" ca="1" si="64"/>
        <v/>
      </c>
      <c r="O181" s="22" t="str">
        <f t="shared" ca="1" si="64"/>
        <v/>
      </c>
      <c r="P181" s="22" t="str">
        <f t="shared" ca="1" si="64"/>
        <v/>
      </c>
      <c r="Q181" s="22" t="str">
        <f t="shared" ca="1" si="64"/>
        <v/>
      </c>
      <c r="R181" s="22" t="str">
        <f t="shared" ca="1" si="64"/>
        <v/>
      </c>
      <c r="S181" s="22" t="str">
        <f t="shared" ca="1" si="64"/>
        <v/>
      </c>
      <c r="T181" s="22" t="str">
        <f t="shared" ca="1" si="64"/>
        <v/>
      </c>
      <c r="U181" s="22" t="str">
        <f t="shared" ca="1" si="64"/>
        <v/>
      </c>
      <c r="V181" s="22" t="str">
        <f t="shared" ca="1" si="64"/>
        <v/>
      </c>
      <c r="W181" s="23" t="str">
        <f t="shared" ca="1" si="64"/>
        <v/>
      </c>
      <c r="Y181" s="21" t="str">
        <f t="shared" ca="1" si="49"/>
        <v/>
      </c>
      <c r="Z181" s="22" t="str">
        <f t="shared" ca="1" si="49"/>
        <v/>
      </c>
      <c r="AA181" s="22" t="str">
        <f t="shared" ca="1" si="49"/>
        <v/>
      </c>
      <c r="AB181" s="22" t="str">
        <f t="shared" ca="1" si="49"/>
        <v/>
      </c>
      <c r="AC181" s="22" t="str">
        <f t="shared" ca="1" si="49"/>
        <v/>
      </c>
      <c r="AD181" s="22" t="str">
        <f t="shared" ca="1" si="48"/>
        <v/>
      </c>
      <c r="AE181" s="22" t="str">
        <f t="shared" ca="1" si="48"/>
        <v/>
      </c>
      <c r="AF181" s="22" t="str">
        <f t="shared" ca="1" si="48"/>
        <v/>
      </c>
      <c r="AG181" s="22" t="str">
        <f t="shared" ca="1" si="48"/>
        <v/>
      </c>
      <c r="AH181" s="23" t="str">
        <f t="shared" ca="1" si="48"/>
        <v/>
      </c>
      <c r="AJ181" s="12" t="e">
        <f t="shared" si="50"/>
        <v>#N/A</v>
      </c>
      <c r="AK181" s="51" t="e">
        <f t="shared" si="51"/>
        <v>#N/A</v>
      </c>
      <c r="AL181" s="16" t="e">
        <f t="shared" si="52"/>
        <v>#N/A</v>
      </c>
      <c r="AM181" s="16" t="e">
        <f t="shared" si="53"/>
        <v>#N/A</v>
      </c>
      <c r="AN181" s="10" t="e">
        <f t="shared" ca="1" si="54"/>
        <v>#N/A</v>
      </c>
      <c r="AO181" s="10" t="e">
        <f t="shared" ca="1" si="55"/>
        <v>#N/A</v>
      </c>
      <c r="AP181" s="10" t="e">
        <f t="shared" si="56"/>
        <v>#N/A</v>
      </c>
      <c r="AQ181" s="10" t="e">
        <f t="shared" si="57"/>
        <v>#N/A</v>
      </c>
      <c r="AR181" s="10" t="e">
        <f t="shared" si="57"/>
        <v>#N/A</v>
      </c>
      <c r="BC181" s="29"/>
    </row>
    <row r="182" spans="2:55" x14ac:dyDescent="0.25">
      <c r="B182" s="41"/>
      <c r="C182" s="40"/>
      <c r="D182" s="63"/>
      <c r="E182" s="39"/>
      <c r="F182" s="60"/>
      <c r="G182" s="42" t="str">
        <f t="shared" si="63"/>
        <v/>
      </c>
      <c r="H182" s="45">
        <f t="shared" ca="1" si="58"/>
        <v>51</v>
      </c>
      <c r="I182" s="36">
        <f t="shared" ca="1" si="59"/>
        <v>0</v>
      </c>
      <c r="J182" s="36">
        <f t="shared" ca="1" si="60"/>
        <v>0</v>
      </c>
      <c r="L182" s="1">
        <f t="shared" ca="1" si="61"/>
        <v>0</v>
      </c>
      <c r="N182" s="21" t="str">
        <f t="shared" ca="1" si="64"/>
        <v/>
      </c>
      <c r="O182" s="22" t="str">
        <f t="shared" ca="1" si="64"/>
        <v/>
      </c>
      <c r="P182" s="22" t="str">
        <f t="shared" ca="1" si="64"/>
        <v/>
      </c>
      <c r="Q182" s="22" t="str">
        <f t="shared" ca="1" si="64"/>
        <v/>
      </c>
      <c r="R182" s="22" t="str">
        <f t="shared" ca="1" si="64"/>
        <v/>
      </c>
      <c r="S182" s="22" t="str">
        <f t="shared" ca="1" si="64"/>
        <v/>
      </c>
      <c r="T182" s="22" t="str">
        <f t="shared" ca="1" si="64"/>
        <v/>
      </c>
      <c r="U182" s="22" t="str">
        <f t="shared" ca="1" si="64"/>
        <v/>
      </c>
      <c r="V182" s="22" t="str">
        <f t="shared" ca="1" si="64"/>
        <v/>
      </c>
      <c r="W182" s="23" t="str">
        <f t="shared" ca="1" si="64"/>
        <v/>
      </c>
      <c r="Y182" s="21" t="str">
        <f t="shared" ca="1" si="49"/>
        <v/>
      </c>
      <c r="Z182" s="22" t="str">
        <f t="shared" ca="1" si="49"/>
        <v/>
      </c>
      <c r="AA182" s="22" t="str">
        <f t="shared" ca="1" si="49"/>
        <v/>
      </c>
      <c r="AB182" s="22" t="str">
        <f t="shared" ca="1" si="49"/>
        <v/>
      </c>
      <c r="AC182" s="22" t="str">
        <f t="shared" ca="1" si="49"/>
        <v/>
      </c>
      <c r="AD182" s="22" t="str">
        <f t="shared" ca="1" si="48"/>
        <v/>
      </c>
      <c r="AE182" s="22" t="str">
        <f t="shared" ca="1" si="48"/>
        <v/>
      </c>
      <c r="AF182" s="22" t="str">
        <f t="shared" ca="1" si="48"/>
        <v/>
      </c>
      <c r="AG182" s="22" t="str">
        <f t="shared" ca="1" si="48"/>
        <v/>
      </c>
      <c r="AH182" s="23" t="str">
        <f t="shared" ca="1" si="48"/>
        <v/>
      </c>
      <c r="AJ182" s="12" t="e">
        <f t="shared" si="50"/>
        <v>#N/A</v>
      </c>
      <c r="AK182" s="51" t="e">
        <f t="shared" si="51"/>
        <v>#N/A</v>
      </c>
      <c r="AL182" s="16" t="e">
        <f t="shared" si="52"/>
        <v>#N/A</v>
      </c>
      <c r="AM182" s="16" t="e">
        <f t="shared" si="53"/>
        <v>#N/A</v>
      </c>
      <c r="AN182" s="10" t="e">
        <f t="shared" ca="1" si="54"/>
        <v>#N/A</v>
      </c>
      <c r="AO182" s="10" t="e">
        <f t="shared" ca="1" si="55"/>
        <v>#N/A</v>
      </c>
      <c r="AP182" s="10" t="e">
        <f t="shared" si="56"/>
        <v>#N/A</v>
      </c>
      <c r="AQ182" s="10" t="e">
        <f t="shared" si="57"/>
        <v>#N/A</v>
      </c>
      <c r="AR182" s="10" t="e">
        <f t="shared" si="57"/>
        <v>#N/A</v>
      </c>
      <c r="BC182" s="29"/>
    </row>
    <row r="183" spans="2:55" x14ac:dyDescent="0.25">
      <c r="B183" s="41"/>
      <c r="C183" s="40"/>
      <c r="D183" s="63"/>
      <c r="E183" s="39"/>
      <c r="F183" s="60"/>
      <c r="G183" s="42" t="str">
        <f t="shared" si="63"/>
        <v/>
      </c>
      <c r="H183" s="45">
        <f t="shared" ca="1" si="58"/>
        <v>51</v>
      </c>
      <c r="I183" s="36">
        <f t="shared" ca="1" si="59"/>
        <v>0</v>
      </c>
      <c r="J183" s="36">
        <f t="shared" ca="1" si="60"/>
        <v>0</v>
      </c>
      <c r="L183" s="1">
        <f t="shared" ca="1" si="61"/>
        <v>0</v>
      </c>
      <c r="N183" s="21" t="str">
        <f t="shared" ca="1" si="64"/>
        <v/>
      </c>
      <c r="O183" s="22" t="str">
        <f t="shared" ca="1" si="64"/>
        <v/>
      </c>
      <c r="P183" s="22" t="str">
        <f t="shared" ca="1" si="64"/>
        <v/>
      </c>
      <c r="Q183" s="22" t="str">
        <f t="shared" ca="1" si="64"/>
        <v/>
      </c>
      <c r="R183" s="22" t="str">
        <f t="shared" ca="1" si="64"/>
        <v/>
      </c>
      <c r="S183" s="22" t="str">
        <f t="shared" ca="1" si="64"/>
        <v/>
      </c>
      <c r="T183" s="22" t="str">
        <f t="shared" ca="1" si="64"/>
        <v/>
      </c>
      <c r="U183" s="22" t="str">
        <f t="shared" ca="1" si="64"/>
        <v/>
      </c>
      <c r="V183" s="22" t="str">
        <f t="shared" ca="1" si="64"/>
        <v/>
      </c>
      <c r="W183" s="23" t="str">
        <f t="shared" ca="1" si="64"/>
        <v/>
      </c>
      <c r="Y183" s="21" t="str">
        <f t="shared" ca="1" si="49"/>
        <v/>
      </c>
      <c r="Z183" s="22" t="str">
        <f t="shared" ca="1" si="49"/>
        <v/>
      </c>
      <c r="AA183" s="22" t="str">
        <f t="shared" ca="1" si="49"/>
        <v/>
      </c>
      <c r="AB183" s="22" t="str">
        <f t="shared" ca="1" si="49"/>
        <v/>
      </c>
      <c r="AC183" s="22" t="str">
        <f t="shared" ca="1" si="49"/>
        <v/>
      </c>
      <c r="AD183" s="22" t="str">
        <f t="shared" ca="1" si="48"/>
        <v/>
      </c>
      <c r="AE183" s="22" t="str">
        <f t="shared" ca="1" si="48"/>
        <v/>
      </c>
      <c r="AF183" s="22" t="str">
        <f t="shared" ca="1" si="48"/>
        <v/>
      </c>
      <c r="AG183" s="22" t="str">
        <f t="shared" ca="1" si="48"/>
        <v/>
      </c>
      <c r="AH183" s="23" t="str">
        <f t="shared" ca="1" si="48"/>
        <v/>
      </c>
      <c r="AJ183" s="12" t="e">
        <f t="shared" si="50"/>
        <v>#N/A</v>
      </c>
      <c r="AK183" s="51" t="e">
        <f t="shared" si="51"/>
        <v>#N/A</v>
      </c>
      <c r="AL183" s="16" t="e">
        <f t="shared" si="52"/>
        <v>#N/A</v>
      </c>
      <c r="AM183" s="16" t="e">
        <f t="shared" si="53"/>
        <v>#N/A</v>
      </c>
      <c r="AN183" s="10" t="e">
        <f t="shared" ca="1" si="54"/>
        <v>#N/A</v>
      </c>
      <c r="AO183" s="10" t="e">
        <f t="shared" ca="1" si="55"/>
        <v>#N/A</v>
      </c>
      <c r="AP183" s="10" t="e">
        <f t="shared" si="56"/>
        <v>#N/A</v>
      </c>
      <c r="AQ183" s="10" t="e">
        <f t="shared" si="57"/>
        <v>#N/A</v>
      </c>
      <c r="AR183" s="10" t="e">
        <f t="shared" si="57"/>
        <v>#N/A</v>
      </c>
      <c r="BC183" s="29"/>
    </row>
    <row r="184" spans="2:55" x14ac:dyDescent="0.25">
      <c r="B184" s="41"/>
      <c r="C184" s="40"/>
      <c r="D184" s="63"/>
      <c r="E184" s="39"/>
      <c r="F184" s="60"/>
      <c r="G184" s="42" t="str">
        <f t="shared" si="63"/>
        <v/>
      </c>
      <c r="H184" s="45">
        <f t="shared" ca="1" si="58"/>
        <v>51</v>
      </c>
      <c r="I184" s="36">
        <f t="shared" ca="1" si="59"/>
        <v>0</v>
      </c>
      <c r="J184" s="36">
        <f t="shared" ca="1" si="60"/>
        <v>0</v>
      </c>
      <c r="L184" s="1">
        <f t="shared" ca="1" si="61"/>
        <v>0</v>
      </c>
      <c r="N184" s="21" t="str">
        <f t="shared" ca="1" si="64"/>
        <v/>
      </c>
      <c r="O184" s="22" t="str">
        <f t="shared" ca="1" si="64"/>
        <v/>
      </c>
      <c r="P184" s="22" t="str">
        <f t="shared" ca="1" si="64"/>
        <v/>
      </c>
      <c r="Q184" s="22" t="str">
        <f t="shared" ca="1" si="64"/>
        <v/>
      </c>
      <c r="R184" s="22" t="str">
        <f t="shared" ca="1" si="64"/>
        <v/>
      </c>
      <c r="S184" s="22" t="str">
        <f t="shared" ca="1" si="64"/>
        <v/>
      </c>
      <c r="T184" s="22" t="str">
        <f t="shared" ca="1" si="64"/>
        <v/>
      </c>
      <c r="U184" s="22" t="str">
        <f t="shared" ca="1" si="64"/>
        <v/>
      </c>
      <c r="V184" s="22" t="str">
        <f t="shared" ca="1" si="64"/>
        <v/>
      </c>
      <c r="W184" s="23" t="str">
        <f t="shared" ca="1" si="64"/>
        <v/>
      </c>
      <c r="Y184" s="21" t="str">
        <f t="shared" ca="1" si="49"/>
        <v/>
      </c>
      <c r="Z184" s="22" t="str">
        <f t="shared" ca="1" si="49"/>
        <v/>
      </c>
      <c r="AA184" s="22" t="str">
        <f t="shared" ca="1" si="49"/>
        <v/>
      </c>
      <c r="AB184" s="22" t="str">
        <f t="shared" ca="1" si="49"/>
        <v/>
      </c>
      <c r="AC184" s="22" t="str">
        <f t="shared" ca="1" si="49"/>
        <v/>
      </c>
      <c r="AD184" s="22" t="str">
        <f t="shared" ca="1" si="48"/>
        <v/>
      </c>
      <c r="AE184" s="22" t="str">
        <f t="shared" ca="1" si="48"/>
        <v/>
      </c>
      <c r="AF184" s="22" t="str">
        <f t="shared" ca="1" si="48"/>
        <v/>
      </c>
      <c r="AG184" s="22" t="str">
        <f t="shared" ca="1" si="48"/>
        <v/>
      </c>
      <c r="AH184" s="23" t="str">
        <f t="shared" ca="1" si="48"/>
        <v/>
      </c>
      <c r="AJ184" s="12" t="e">
        <f t="shared" si="50"/>
        <v>#N/A</v>
      </c>
      <c r="AK184" s="51" t="e">
        <f t="shared" si="51"/>
        <v>#N/A</v>
      </c>
      <c r="AL184" s="16" t="e">
        <f t="shared" si="52"/>
        <v>#N/A</v>
      </c>
      <c r="AM184" s="16" t="e">
        <f t="shared" si="53"/>
        <v>#N/A</v>
      </c>
      <c r="AN184" s="10" t="e">
        <f t="shared" ca="1" si="54"/>
        <v>#N/A</v>
      </c>
      <c r="AO184" s="10" t="e">
        <f t="shared" ca="1" si="55"/>
        <v>#N/A</v>
      </c>
      <c r="AP184" s="10" t="e">
        <f t="shared" si="56"/>
        <v>#N/A</v>
      </c>
      <c r="AQ184" s="10" t="e">
        <f t="shared" si="57"/>
        <v>#N/A</v>
      </c>
      <c r="AR184" s="10" t="e">
        <f t="shared" si="57"/>
        <v>#N/A</v>
      </c>
      <c r="BC184" s="29"/>
    </row>
    <row r="185" spans="2:55" x14ac:dyDescent="0.25">
      <c r="B185" s="41"/>
      <c r="C185" s="40"/>
      <c r="D185" s="63"/>
      <c r="E185" s="39"/>
      <c r="F185" s="60"/>
      <c r="G185" s="42" t="str">
        <f t="shared" si="63"/>
        <v/>
      </c>
      <c r="H185" s="45">
        <f t="shared" ca="1" si="58"/>
        <v>51</v>
      </c>
      <c r="I185" s="36">
        <f t="shared" ca="1" si="59"/>
        <v>0</v>
      </c>
      <c r="J185" s="36">
        <f t="shared" ca="1" si="60"/>
        <v>0</v>
      </c>
      <c r="L185" s="1">
        <f t="shared" ca="1" si="61"/>
        <v>0</v>
      </c>
      <c r="N185" s="21" t="str">
        <f t="shared" ca="1" si="64"/>
        <v/>
      </c>
      <c r="O185" s="22" t="str">
        <f t="shared" ca="1" si="64"/>
        <v/>
      </c>
      <c r="P185" s="22" t="str">
        <f t="shared" ca="1" si="64"/>
        <v/>
      </c>
      <c r="Q185" s="22" t="str">
        <f t="shared" ca="1" si="64"/>
        <v/>
      </c>
      <c r="R185" s="22" t="str">
        <f t="shared" ca="1" si="64"/>
        <v/>
      </c>
      <c r="S185" s="22" t="str">
        <f t="shared" ca="1" si="64"/>
        <v/>
      </c>
      <c r="T185" s="22" t="str">
        <f t="shared" ca="1" si="64"/>
        <v/>
      </c>
      <c r="U185" s="22" t="str">
        <f t="shared" ca="1" si="64"/>
        <v/>
      </c>
      <c r="V185" s="22" t="str">
        <f t="shared" ca="1" si="64"/>
        <v/>
      </c>
      <c r="W185" s="23" t="str">
        <f t="shared" ca="1" si="64"/>
        <v/>
      </c>
      <c r="Y185" s="21" t="str">
        <f t="shared" ca="1" si="49"/>
        <v/>
      </c>
      <c r="Z185" s="22" t="str">
        <f t="shared" ca="1" si="49"/>
        <v/>
      </c>
      <c r="AA185" s="22" t="str">
        <f t="shared" ca="1" si="49"/>
        <v/>
      </c>
      <c r="AB185" s="22" t="str">
        <f t="shared" ca="1" si="49"/>
        <v/>
      </c>
      <c r="AC185" s="22" t="str">
        <f t="shared" ca="1" si="49"/>
        <v/>
      </c>
      <c r="AD185" s="22" t="str">
        <f t="shared" ca="1" si="48"/>
        <v/>
      </c>
      <c r="AE185" s="22" t="str">
        <f t="shared" ca="1" si="48"/>
        <v/>
      </c>
      <c r="AF185" s="22" t="str">
        <f t="shared" ca="1" si="48"/>
        <v/>
      </c>
      <c r="AG185" s="22" t="str">
        <f t="shared" ca="1" si="48"/>
        <v/>
      </c>
      <c r="AH185" s="23" t="str">
        <f t="shared" ca="1" si="48"/>
        <v/>
      </c>
      <c r="AJ185" s="12" t="e">
        <f t="shared" si="50"/>
        <v>#N/A</v>
      </c>
      <c r="AK185" s="51" t="e">
        <f t="shared" si="51"/>
        <v>#N/A</v>
      </c>
      <c r="AL185" s="16" t="e">
        <f t="shared" si="52"/>
        <v>#N/A</v>
      </c>
      <c r="AM185" s="16" t="e">
        <f t="shared" si="53"/>
        <v>#N/A</v>
      </c>
      <c r="AN185" s="10" t="e">
        <f t="shared" ca="1" si="54"/>
        <v>#N/A</v>
      </c>
      <c r="AO185" s="10" t="e">
        <f t="shared" ca="1" si="55"/>
        <v>#N/A</v>
      </c>
      <c r="AP185" s="10" t="e">
        <f t="shared" si="56"/>
        <v>#N/A</v>
      </c>
      <c r="AQ185" s="10" t="e">
        <f t="shared" si="57"/>
        <v>#N/A</v>
      </c>
      <c r="AR185" s="10" t="e">
        <f t="shared" si="57"/>
        <v>#N/A</v>
      </c>
      <c r="BC185" s="29"/>
    </row>
    <row r="186" spans="2:55" x14ac:dyDescent="0.25">
      <c r="B186" s="41"/>
      <c r="C186" s="40"/>
      <c r="D186" s="63"/>
      <c r="E186" s="39"/>
      <c r="F186" s="60"/>
      <c r="G186" s="42" t="str">
        <f t="shared" si="63"/>
        <v/>
      </c>
      <c r="H186" s="45">
        <f t="shared" ca="1" si="58"/>
        <v>51</v>
      </c>
      <c r="I186" s="36">
        <f t="shared" ca="1" si="59"/>
        <v>0</v>
      </c>
      <c r="J186" s="36">
        <f t="shared" ca="1" si="60"/>
        <v>0</v>
      </c>
      <c r="L186" s="1">
        <f t="shared" ca="1" si="61"/>
        <v>0</v>
      </c>
      <c r="N186" s="21" t="str">
        <f t="shared" ca="1" si="64"/>
        <v/>
      </c>
      <c r="O186" s="22" t="str">
        <f t="shared" ca="1" si="64"/>
        <v/>
      </c>
      <c r="P186" s="22" t="str">
        <f t="shared" ca="1" si="64"/>
        <v/>
      </c>
      <c r="Q186" s="22" t="str">
        <f t="shared" ca="1" si="64"/>
        <v/>
      </c>
      <c r="R186" s="22" t="str">
        <f t="shared" ca="1" si="64"/>
        <v/>
      </c>
      <c r="S186" s="22" t="str">
        <f t="shared" ca="1" si="64"/>
        <v/>
      </c>
      <c r="T186" s="22" t="str">
        <f t="shared" ca="1" si="64"/>
        <v/>
      </c>
      <c r="U186" s="22" t="str">
        <f t="shared" ca="1" si="64"/>
        <v/>
      </c>
      <c r="V186" s="22" t="str">
        <f t="shared" ca="1" si="64"/>
        <v/>
      </c>
      <c r="W186" s="23" t="str">
        <f t="shared" ca="1" si="64"/>
        <v/>
      </c>
      <c r="Y186" s="21" t="str">
        <f t="shared" ca="1" si="49"/>
        <v/>
      </c>
      <c r="Z186" s="22" t="str">
        <f t="shared" ca="1" si="49"/>
        <v/>
      </c>
      <c r="AA186" s="22" t="str">
        <f t="shared" ca="1" si="49"/>
        <v/>
      </c>
      <c r="AB186" s="22" t="str">
        <f t="shared" ca="1" si="49"/>
        <v/>
      </c>
      <c r="AC186" s="22" t="str">
        <f t="shared" ca="1" si="49"/>
        <v/>
      </c>
      <c r="AD186" s="22" t="str">
        <f t="shared" ca="1" si="48"/>
        <v/>
      </c>
      <c r="AE186" s="22" t="str">
        <f t="shared" ca="1" si="48"/>
        <v/>
      </c>
      <c r="AF186" s="22" t="str">
        <f t="shared" ca="1" si="48"/>
        <v/>
      </c>
      <c r="AG186" s="22" t="str">
        <f t="shared" ca="1" si="48"/>
        <v/>
      </c>
      <c r="AH186" s="23" t="str">
        <f t="shared" ca="1" si="48"/>
        <v/>
      </c>
      <c r="AJ186" s="12" t="e">
        <f t="shared" si="50"/>
        <v>#N/A</v>
      </c>
      <c r="AK186" s="51" t="e">
        <f t="shared" si="51"/>
        <v>#N/A</v>
      </c>
      <c r="AL186" s="16" t="e">
        <f t="shared" si="52"/>
        <v>#N/A</v>
      </c>
      <c r="AM186" s="16" t="e">
        <f t="shared" si="53"/>
        <v>#N/A</v>
      </c>
      <c r="AN186" s="10" t="e">
        <f t="shared" ca="1" si="54"/>
        <v>#N/A</v>
      </c>
      <c r="AO186" s="10" t="e">
        <f t="shared" ca="1" si="55"/>
        <v>#N/A</v>
      </c>
      <c r="AP186" s="10" t="e">
        <f t="shared" si="56"/>
        <v>#N/A</v>
      </c>
      <c r="AQ186" s="10" t="e">
        <f t="shared" si="57"/>
        <v>#N/A</v>
      </c>
      <c r="AR186" s="10" t="e">
        <f t="shared" si="57"/>
        <v>#N/A</v>
      </c>
      <c r="BC186" s="29"/>
    </row>
    <row r="187" spans="2:55" x14ac:dyDescent="0.25">
      <c r="B187" s="41"/>
      <c r="C187" s="40"/>
      <c r="D187" s="63"/>
      <c r="E187" s="39"/>
      <c r="F187" s="60"/>
      <c r="G187" s="42" t="str">
        <f t="shared" si="63"/>
        <v/>
      </c>
      <c r="H187" s="45">
        <f t="shared" ca="1" si="58"/>
        <v>51</v>
      </c>
      <c r="I187" s="36">
        <f t="shared" ca="1" si="59"/>
        <v>0</v>
      </c>
      <c r="J187" s="36">
        <f t="shared" ca="1" si="60"/>
        <v>0</v>
      </c>
      <c r="L187" s="1">
        <f t="shared" ca="1" si="61"/>
        <v>0</v>
      </c>
      <c r="N187" s="21" t="str">
        <f t="shared" ref="N187:W202" ca="1" si="65">IF(ISNUMBER($C187),IF($G187&lt;=$C$9,IF($L187=N$25,$C187,""),IF(COUNT(INDIRECT(ADDRESS(ROW(N$26),COLUMN())&amp;":"&amp;ADDRESS(ROW()-1,COLUMN())))&gt;$C$13,"",IF($L187=N$25,$C187,""))),"")</f>
        <v/>
      </c>
      <c r="O187" s="22" t="str">
        <f t="shared" ca="1" si="65"/>
        <v/>
      </c>
      <c r="P187" s="22" t="str">
        <f t="shared" ca="1" si="65"/>
        <v/>
      </c>
      <c r="Q187" s="22" t="str">
        <f t="shared" ca="1" si="65"/>
        <v/>
      </c>
      <c r="R187" s="22" t="str">
        <f t="shared" ca="1" si="65"/>
        <v/>
      </c>
      <c r="S187" s="22" t="str">
        <f t="shared" ca="1" si="65"/>
        <v/>
      </c>
      <c r="T187" s="22" t="str">
        <f t="shared" ca="1" si="65"/>
        <v/>
      </c>
      <c r="U187" s="22" t="str">
        <f t="shared" ca="1" si="65"/>
        <v/>
      </c>
      <c r="V187" s="22" t="str">
        <f t="shared" ca="1" si="65"/>
        <v/>
      </c>
      <c r="W187" s="23" t="str">
        <f t="shared" ca="1" si="65"/>
        <v/>
      </c>
      <c r="Y187" s="21" t="str">
        <f t="shared" ca="1" si="49"/>
        <v/>
      </c>
      <c r="Z187" s="22" t="str">
        <f t="shared" ca="1" si="49"/>
        <v/>
      </c>
      <c r="AA187" s="22" t="str">
        <f t="shared" ca="1" si="49"/>
        <v/>
      </c>
      <c r="AB187" s="22" t="str">
        <f t="shared" ca="1" si="49"/>
        <v/>
      </c>
      <c r="AC187" s="22" t="str">
        <f t="shared" ca="1" si="49"/>
        <v/>
      </c>
      <c r="AD187" s="22" t="str">
        <f t="shared" ca="1" si="48"/>
        <v/>
      </c>
      <c r="AE187" s="22" t="str">
        <f t="shared" ca="1" si="48"/>
        <v/>
      </c>
      <c r="AF187" s="22" t="str">
        <f t="shared" ca="1" si="48"/>
        <v/>
      </c>
      <c r="AG187" s="22" t="str">
        <f t="shared" ca="1" si="48"/>
        <v/>
      </c>
      <c r="AH187" s="23" t="str">
        <f t="shared" ca="1" si="48"/>
        <v/>
      </c>
      <c r="AJ187" s="12" t="e">
        <f t="shared" si="50"/>
        <v>#N/A</v>
      </c>
      <c r="AK187" s="51" t="e">
        <f t="shared" si="51"/>
        <v>#N/A</v>
      </c>
      <c r="AL187" s="16" t="e">
        <f t="shared" si="52"/>
        <v>#N/A</v>
      </c>
      <c r="AM187" s="16" t="e">
        <f t="shared" si="53"/>
        <v>#N/A</v>
      </c>
      <c r="AN187" s="10" t="e">
        <f t="shared" ca="1" si="54"/>
        <v>#N/A</v>
      </c>
      <c r="AO187" s="10" t="e">
        <f t="shared" ca="1" si="55"/>
        <v>#N/A</v>
      </c>
      <c r="AP187" s="10" t="e">
        <f t="shared" si="56"/>
        <v>#N/A</v>
      </c>
      <c r="AQ187" s="10" t="e">
        <f t="shared" si="57"/>
        <v>#N/A</v>
      </c>
      <c r="AR187" s="10" t="e">
        <f t="shared" si="57"/>
        <v>#N/A</v>
      </c>
      <c r="BC187" s="29"/>
    </row>
    <row r="188" spans="2:55" x14ac:dyDescent="0.25">
      <c r="B188" s="41"/>
      <c r="C188" s="40"/>
      <c r="D188" s="63"/>
      <c r="E188" s="39"/>
      <c r="F188" s="60"/>
      <c r="G188" s="42" t="str">
        <f t="shared" si="63"/>
        <v/>
      </c>
      <c r="H188" s="45">
        <f t="shared" ca="1" si="58"/>
        <v>51</v>
      </c>
      <c r="I188" s="36">
        <f t="shared" ca="1" si="59"/>
        <v>0</v>
      </c>
      <c r="J188" s="36">
        <f t="shared" ca="1" si="60"/>
        <v>0</v>
      </c>
      <c r="L188" s="1">
        <f t="shared" ca="1" si="61"/>
        <v>0</v>
      </c>
      <c r="N188" s="21" t="str">
        <f t="shared" ca="1" si="65"/>
        <v/>
      </c>
      <c r="O188" s="22" t="str">
        <f t="shared" ca="1" si="65"/>
        <v/>
      </c>
      <c r="P188" s="22" t="str">
        <f t="shared" ca="1" si="65"/>
        <v/>
      </c>
      <c r="Q188" s="22" t="str">
        <f t="shared" ca="1" si="65"/>
        <v/>
      </c>
      <c r="R188" s="22" t="str">
        <f t="shared" ca="1" si="65"/>
        <v/>
      </c>
      <c r="S188" s="22" t="str">
        <f t="shared" ca="1" si="65"/>
        <v/>
      </c>
      <c r="T188" s="22" t="str">
        <f t="shared" ca="1" si="65"/>
        <v/>
      </c>
      <c r="U188" s="22" t="str">
        <f t="shared" ca="1" si="65"/>
        <v/>
      </c>
      <c r="V188" s="22" t="str">
        <f t="shared" ca="1" si="65"/>
        <v/>
      </c>
      <c r="W188" s="23" t="str">
        <f t="shared" ca="1" si="65"/>
        <v/>
      </c>
      <c r="Y188" s="21" t="str">
        <f t="shared" ca="1" si="49"/>
        <v/>
      </c>
      <c r="Z188" s="22" t="str">
        <f t="shared" ca="1" si="49"/>
        <v/>
      </c>
      <c r="AA188" s="22" t="str">
        <f t="shared" ca="1" si="49"/>
        <v/>
      </c>
      <c r="AB188" s="22" t="str">
        <f t="shared" ca="1" si="49"/>
        <v/>
      </c>
      <c r="AC188" s="22" t="str">
        <f t="shared" ca="1" si="49"/>
        <v/>
      </c>
      <c r="AD188" s="22" t="str">
        <f t="shared" ca="1" si="48"/>
        <v/>
      </c>
      <c r="AE188" s="22" t="str">
        <f t="shared" ca="1" si="48"/>
        <v/>
      </c>
      <c r="AF188" s="22" t="str">
        <f t="shared" ca="1" si="48"/>
        <v/>
      </c>
      <c r="AG188" s="22" t="str">
        <f t="shared" ca="1" si="48"/>
        <v/>
      </c>
      <c r="AH188" s="23" t="str">
        <f t="shared" ca="1" si="48"/>
        <v/>
      </c>
      <c r="AJ188" s="12" t="e">
        <f t="shared" si="50"/>
        <v>#N/A</v>
      </c>
      <c r="AK188" s="51" t="e">
        <f t="shared" si="51"/>
        <v>#N/A</v>
      </c>
      <c r="AL188" s="16" t="e">
        <f t="shared" si="52"/>
        <v>#N/A</v>
      </c>
      <c r="AM188" s="16" t="e">
        <f t="shared" si="53"/>
        <v>#N/A</v>
      </c>
      <c r="AN188" s="10" t="e">
        <f t="shared" ca="1" si="54"/>
        <v>#N/A</v>
      </c>
      <c r="AO188" s="10" t="e">
        <f t="shared" ca="1" si="55"/>
        <v>#N/A</v>
      </c>
      <c r="AP188" s="10" t="e">
        <f t="shared" si="56"/>
        <v>#N/A</v>
      </c>
      <c r="AQ188" s="10" t="e">
        <f t="shared" si="57"/>
        <v>#N/A</v>
      </c>
      <c r="AR188" s="10" t="e">
        <f t="shared" si="57"/>
        <v>#N/A</v>
      </c>
      <c r="BC188" s="29"/>
    </row>
    <row r="189" spans="2:55" x14ac:dyDescent="0.25">
      <c r="B189" s="41"/>
      <c r="C189" s="40"/>
      <c r="D189" s="63"/>
      <c r="E189" s="39"/>
      <c r="F189" s="60"/>
      <c r="G189" s="42" t="str">
        <f t="shared" si="63"/>
        <v/>
      </c>
      <c r="H189" s="45">
        <f t="shared" ca="1" si="58"/>
        <v>51</v>
      </c>
      <c r="I189" s="36">
        <f t="shared" ca="1" si="59"/>
        <v>0</v>
      </c>
      <c r="J189" s="36">
        <f t="shared" ca="1" si="60"/>
        <v>0</v>
      </c>
      <c r="L189" s="1">
        <f t="shared" ca="1" si="61"/>
        <v>0</v>
      </c>
      <c r="N189" s="21" t="str">
        <f t="shared" ca="1" si="65"/>
        <v/>
      </c>
      <c r="O189" s="22" t="str">
        <f t="shared" ca="1" si="65"/>
        <v/>
      </c>
      <c r="P189" s="22" t="str">
        <f t="shared" ca="1" si="65"/>
        <v/>
      </c>
      <c r="Q189" s="22" t="str">
        <f t="shared" ca="1" si="65"/>
        <v/>
      </c>
      <c r="R189" s="22" t="str">
        <f t="shared" ca="1" si="65"/>
        <v/>
      </c>
      <c r="S189" s="22" t="str">
        <f t="shared" ca="1" si="65"/>
        <v/>
      </c>
      <c r="T189" s="22" t="str">
        <f t="shared" ca="1" si="65"/>
        <v/>
      </c>
      <c r="U189" s="22" t="str">
        <f t="shared" ca="1" si="65"/>
        <v/>
      </c>
      <c r="V189" s="22" t="str">
        <f t="shared" ca="1" si="65"/>
        <v/>
      </c>
      <c r="W189" s="23" t="str">
        <f t="shared" ca="1" si="65"/>
        <v/>
      </c>
      <c r="Y189" s="21" t="str">
        <f t="shared" ca="1" si="49"/>
        <v/>
      </c>
      <c r="Z189" s="22" t="str">
        <f t="shared" ca="1" si="49"/>
        <v/>
      </c>
      <c r="AA189" s="22" t="str">
        <f t="shared" ca="1" si="49"/>
        <v/>
      </c>
      <c r="AB189" s="22" t="str">
        <f t="shared" ca="1" si="49"/>
        <v/>
      </c>
      <c r="AC189" s="22" t="str">
        <f t="shared" ca="1" si="49"/>
        <v/>
      </c>
      <c r="AD189" s="22" t="str">
        <f t="shared" ca="1" si="48"/>
        <v/>
      </c>
      <c r="AE189" s="22" t="str">
        <f t="shared" ca="1" si="48"/>
        <v/>
      </c>
      <c r="AF189" s="22" t="str">
        <f t="shared" ca="1" si="48"/>
        <v/>
      </c>
      <c r="AG189" s="22" t="str">
        <f t="shared" ca="1" si="48"/>
        <v/>
      </c>
      <c r="AH189" s="23" t="str">
        <f t="shared" ca="1" si="48"/>
        <v/>
      </c>
      <c r="AJ189" s="12" t="e">
        <f t="shared" si="50"/>
        <v>#N/A</v>
      </c>
      <c r="AK189" s="51" t="e">
        <f t="shared" si="51"/>
        <v>#N/A</v>
      </c>
      <c r="AL189" s="16" t="e">
        <f t="shared" si="52"/>
        <v>#N/A</v>
      </c>
      <c r="AM189" s="16" t="e">
        <f t="shared" si="53"/>
        <v>#N/A</v>
      </c>
      <c r="AN189" s="10" t="e">
        <f t="shared" ca="1" si="54"/>
        <v>#N/A</v>
      </c>
      <c r="AO189" s="10" t="e">
        <f t="shared" ca="1" si="55"/>
        <v>#N/A</v>
      </c>
      <c r="AP189" s="10" t="e">
        <f t="shared" si="56"/>
        <v>#N/A</v>
      </c>
      <c r="AQ189" s="10" t="e">
        <f t="shared" si="57"/>
        <v>#N/A</v>
      </c>
      <c r="AR189" s="10" t="e">
        <f t="shared" si="57"/>
        <v>#N/A</v>
      </c>
      <c r="BC189" s="29"/>
    </row>
    <row r="190" spans="2:55" x14ac:dyDescent="0.25">
      <c r="B190" s="41"/>
      <c r="C190" s="40"/>
      <c r="D190" s="63"/>
      <c r="E190" s="39"/>
      <c r="F190" s="60"/>
      <c r="G190" s="42" t="str">
        <f t="shared" si="63"/>
        <v/>
      </c>
      <c r="H190" s="45">
        <f t="shared" ca="1" si="58"/>
        <v>51</v>
      </c>
      <c r="I190" s="36">
        <f t="shared" ca="1" si="59"/>
        <v>0</v>
      </c>
      <c r="J190" s="36">
        <f t="shared" ca="1" si="60"/>
        <v>0</v>
      </c>
      <c r="L190" s="1">
        <f t="shared" ca="1" si="61"/>
        <v>0</v>
      </c>
      <c r="N190" s="21" t="str">
        <f t="shared" ca="1" si="65"/>
        <v/>
      </c>
      <c r="O190" s="22" t="str">
        <f t="shared" ca="1" si="65"/>
        <v/>
      </c>
      <c r="P190" s="22" t="str">
        <f t="shared" ca="1" si="65"/>
        <v/>
      </c>
      <c r="Q190" s="22" t="str">
        <f t="shared" ca="1" si="65"/>
        <v/>
      </c>
      <c r="R190" s="22" t="str">
        <f t="shared" ca="1" si="65"/>
        <v/>
      </c>
      <c r="S190" s="22" t="str">
        <f t="shared" ca="1" si="65"/>
        <v/>
      </c>
      <c r="T190" s="22" t="str">
        <f t="shared" ca="1" si="65"/>
        <v/>
      </c>
      <c r="U190" s="22" t="str">
        <f t="shared" ca="1" si="65"/>
        <v/>
      </c>
      <c r="V190" s="22" t="str">
        <f t="shared" ca="1" si="65"/>
        <v/>
      </c>
      <c r="W190" s="23" t="str">
        <f t="shared" ca="1" si="65"/>
        <v/>
      </c>
      <c r="Y190" s="21" t="str">
        <f t="shared" ca="1" si="49"/>
        <v/>
      </c>
      <c r="Z190" s="22" t="str">
        <f t="shared" ca="1" si="49"/>
        <v/>
      </c>
      <c r="AA190" s="22" t="str">
        <f t="shared" ca="1" si="49"/>
        <v/>
      </c>
      <c r="AB190" s="22" t="str">
        <f t="shared" ca="1" si="49"/>
        <v/>
      </c>
      <c r="AC190" s="22" t="str">
        <f t="shared" ca="1" si="49"/>
        <v/>
      </c>
      <c r="AD190" s="22" t="str">
        <f t="shared" ca="1" si="48"/>
        <v/>
      </c>
      <c r="AE190" s="22" t="str">
        <f t="shared" ca="1" si="48"/>
        <v/>
      </c>
      <c r="AF190" s="22" t="str">
        <f t="shared" ca="1" si="48"/>
        <v/>
      </c>
      <c r="AG190" s="22" t="str">
        <f t="shared" ca="1" si="48"/>
        <v/>
      </c>
      <c r="AH190" s="23" t="str">
        <f t="shared" ca="1" si="48"/>
        <v/>
      </c>
      <c r="AJ190" s="12" t="e">
        <f t="shared" si="50"/>
        <v>#N/A</v>
      </c>
      <c r="AK190" s="51" t="e">
        <f t="shared" si="51"/>
        <v>#N/A</v>
      </c>
      <c r="AL190" s="16" t="e">
        <f t="shared" si="52"/>
        <v>#N/A</v>
      </c>
      <c r="AM190" s="16" t="e">
        <f t="shared" si="53"/>
        <v>#N/A</v>
      </c>
      <c r="AN190" s="10" t="e">
        <f t="shared" ca="1" si="54"/>
        <v>#N/A</v>
      </c>
      <c r="AO190" s="10" t="e">
        <f t="shared" ca="1" si="55"/>
        <v>#N/A</v>
      </c>
      <c r="AP190" s="10" t="e">
        <f t="shared" si="56"/>
        <v>#N/A</v>
      </c>
      <c r="AQ190" s="10" t="e">
        <f t="shared" si="57"/>
        <v>#N/A</v>
      </c>
      <c r="AR190" s="10" t="e">
        <f t="shared" si="57"/>
        <v>#N/A</v>
      </c>
      <c r="BC190" s="29"/>
    </row>
    <row r="191" spans="2:55" x14ac:dyDescent="0.25">
      <c r="B191" s="41"/>
      <c r="C191" s="40"/>
      <c r="D191" s="63"/>
      <c r="E191" s="39"/>
      <c r="F191" s="60"/>
      <c r="G191" s="42" t="str">
        <f t="shared" si="63"/>
        <v/>
      </c>
      <c r="H191" s="45">
        <f t="shared" ca="1" si="58"/>
        <v>51</v>
      </c>
      <c r="I191" s="36">
        <f t="shared" ca="1" si="59"/>
        <v>0</v>
      </c>
      <c r="J191" s="36">
        <f t="shared" ca="1" si="60"/>
        <v>0</v>
      </c>
      <c r="L191" s="1">
        <f t="shared" ca="1" si="61"/>
        <v>0</v>
      </c>
      <c r="N191" s="21" t="str">
        <f t="shared" ca="1" si="65"/>
        <v/>
      </c>
      <c r="O191" s="22" t="str">
        <f t="shared" ca="1" si="65"/>
        <v/>
      </c>
      <c r="P191" s="22" t="str">
        <f t="shared" ca="1" si="65"/>
        <v/>
      </c>
      <c r="Q191" s="22" t="str">
        <f t="shared" ca="1" si="65"/>
        <v/>
      </c>
      <c r="R191" s="22" t="str">
        <f t="shared" ca="1" si="65"/>
        <v/>
      </c>
      <c r="S191" s="22" t="str">
        <f t="shared" ca="1" si="65"/>
        <v/>
      </c>
      <c r="T191" s="22" t="str">
        <f t="shared" ca="1" si="65"/>
        <v/>
      </c>
      <c r="U191" s="22" t="str">
        <f t="shared" ca="1" si="65"/>
        <v/>
      </c>
      <c r="V191" s="22" t="str">
        <f t="shared" ca="1" si="65"/>
        <v/>
      </c>
      <c r="W191" s="23" t="str">
        <f t="shared" ca="1" si="65"/>
        <v/>
      </c>
      <c r="Y191" s="21" t="str">
        <f t="shared" ca="1" si="49"/>
        <v/>
      </c>
      <c r="Z191" s="22" t="str">
        <f t="shared" ca="1" si="49"/>
        <v/>
      </c>
      <c r="AA191" s="22" t="str">
        <f t="shared" ca="1" si="49"/>
        <v/>
      </c>
      <c r="AB191" s="22" t="str">
        <f t="shared" ca="1" si="49"/>
        <v/>
      </c>
      <c r="AC191" s="22" t="str">
        <f t="shared" ca="1" si="49"/>
        <v/>
      </c>
      <c r="AD191" s="22" t="str">
        <f t="shared" ca="1" si="48"/>
        <v/>
      </c>
      <c r="AE191" s="22" t="str">
        <f t="shared" ca="1" si="48"/>
        <v/>
      </c>
      <c r="AF191" s="22" t="str">
        <f t="shared" ca="1" si="48"/>
        <v/>
      </c>
      <c r="AG191" s="22" t="str">
        <f t="shared" ca="1" si="48"/>
        <v/>
      </c>
      <c r="AH191" s="23" t="str">
        <f t="shared" ca="1" si="48"/>
        <v/>
      </c>
      <c r="AJ191" s="12" t="e">
        <f t="shared" si="50"/>
        <v>#N/A</v>
      </c>
      <c r="AK191" s="51" t="e">
        <f t="shared" si="51"/>
        <v>#N/A</v>
      </c>
      <c r="AL191" s="16" t="e">
        <f t="shared" si="52"/>
        <v>#N/A</v>
      </c>
      <c r="AM191" s="16" t="e">
        <f t="shared" si="53"/>
        <v>#N/A</v>
      </c>
      <c r="AN191" s="10" t="e">
        <f t="shared" ca="1" si="54"/>
        <v>#N/A</v>
      </c>
      <c r="AO191" s="10" t="e">
        <f t="shared" ca="1" si="55"/>
        <v>#N/A</v>
      </c>
      <c r="AP191" s="10" t="e">
        <f t="shared" si="56"/>
        <v>#N/A</v>
      </c>
      <c r="AQ191" s="10" t="e">
        <f t="shared" si="57"/>
        <v>#N/A</v>
      </c>
      <c r="AR191" s="10" t="e">
        <f t="shared" si="57"/>
        <v>#N/A</v>
      </c>
      <c r="BC191" s="29"/>
    </row>
    <row r="192" spans="2:55" x14ac:dyDescent="0.25">
      <c r="B192" s="41"/>
      <c r="C192" s="40"/>
      <c r="D192" s="63"/>
      <c r="E192" s="39"/>
      <c r="F192" s="60"/>
      <c r="G192" s="42" t="str">
        <f t="shared" si="63"/>
        <v/>
      </c>
      <c r="H192" s="45">
        <f t="shared" ca="1" si="58"/>
        <v>51</v>
      </c>
      <c r="I192" s="36">
        <f t="shared" ca="1" si="59"/>
        <v>0</v>
      </c>
      <c r="J192" s="36">
        <f t="shared" ca="1" si="60"/>
        <v>0</v>
      </c>
      <c r="L192" s="1">
        <f t="shared" ca="1" si="61"/>
        <v>0</v>
      </c>
      <c r="N192" s="21" t="str">
        <f t="shared" ca="1" si="65"/>
        <v/>
      </c>
      <c r="O192" s="22" t="str">
        <f t="shared" ca="1" si="65"/>
        <v/>
      </c>
      <c r="P192" s="22" t="str">
        <f t="shared" ca="1" si="65"/>
        <v/>
      </c>
      <c r="Q192" s="22" t="str">
        <f t="shared" ca="1" si="65"/>
        <v/>
      </c>
      <c r="R192" s="22" t="str">
        <f t="shared" ca="1" si="65"/>
        <v/>
      </c>
      <c r="S192" s="22" t="str">
        <f t="shared" ca="1" si="65"/>
        <v/>
      </c>
      <c r="T192" s="22" t="str">
        <f t="shared" ca="1" si="65"/>
        <v/>
      </c>
      <c r="U192" s="22" t="str">
        <f t="shared" ca="1" si="65"/>
        <v/>
      </c>
      <c r="V192" s="22" t="str">
        <f t="shared" ca="1" si="65"/>
        <v/>
      </c>
      <c r="W192" s="23" t="str">
        <f t="shared" ca="1" si="65"/>
        <v/>
      </c>
      <c r="Y192" s="21" t="str">
        <f t="shared" ca="1" si="49"/>
        <v/>
      </c>
      <c r="Z192" s="22" t="str">
        <f t="shared" ca="1" si="49"/>
        <v/>
      </c>
      <c r="AA192" s="22" t="str">
        <f t="shared" ca="1" si="49"/>
        <v/>
      </c>
      <c r="AB192" s="22" t="str">
        <f t="shared" ca="1" si="49"/>
        <v/>
      </c>
      <c r="AC192" s="22" t="str">
        <f t="shared" ca="1" si="49"/>
        <v/>
      </c>
      <c r="AD192" s="22" t="str">
        <f t="shared" ca="1" si="48"/>
        <v/>
      </c>
      <c r="AE192" s="22" t="str">
        <f t="shared" ca="1" si="48"/>
        <v/>
      </c>
      <c r="AF192" s="22" t="str">
        <f t="shared" ca="1" si="48"/>
        <v/>
      </c>
      <c r="AG192" s="22" t="str">
        <f t="shared" ca="1" si="48"/>
        <v/>
      </c>
      <c r="AH192" s="23" t="str">
        <f t="shared" ca="1" si="48"/>
        <v/>
      </c>
      <c r="AJ192" s="12" t="e">
        <f t="shared" si="50"/>
        <v>#N/A</v>
      </c>
      <c r="AK192" s="51" t="e">
        <f t="shared" si="51"/>
        <v>#N/A</v>
      </c>
      <c r="AL192" s="16" t="e">
        <f t="shared" si="52"/>
        <v>#N/A</v>
      </c>
      <c r="AM192" s="16" t="e">
        <f t="shared" si="53"/>
        <v>#N/A</v>
      </c>
      <c r="AN192" s="10" t="e">
        <f t="shared" ca="1" si="54"/>
        <v>#N/A</v>
      </c>
      <c r="AO192" s="10" t="e">
        <f t="shared" ca="1" si="55"/>
        <v>#N/A</v>
      </c>
      <c r="AP192" s="10" t="e">
        <f t="shared" si="56"/>
        <v>#N/A</v>
      </c>
      <c r="AQ192" s="10" t="e">
        <f t="shared" si="57"/>
        <v>#N/A</v>
      </c>
      <c r="AR192" s="10" t="e">
        <f t="shared" si="57"/>
        <v>#N/A</v>
      </c>
      <c r="BC192" s="29"/>
    </row>
    <row r="193" spans="2:55" x14ac:dyDescent="0.25">
      <c r="B193" s="41"/>
      <c r="C193" s="40"/>
      <c r="D193" s="63"/>
      <c r="E193" s="39"/>
      <c r="F193" s="60"/>
      <c r="G193" s="42" t="str">
        <f t="shared" si="63"/>
        <v/>
      </c>
      <c r="H193" s="45">
        <f t="shared" ca="1" si="58"/>
        <v>51</v>
      </c>
      <c r="I193" s="36">
        <f t="shared" ca="1" si="59"/>
        <v>0</v>
      </c>
      <c r="J193" s="36">
        <f t="shared" ca="1" si="60"/>
        <v>0</v>
      </c>
      <c r="L193" s="1">
        <f t="shared" ca="1" si="61"/>
        <v>0</v>
      </c>
      <c r="N193" s="21" t="str">
        <f t="shared" ca="1" si="65"/>
        <v/>
      </c>
      <c r="O193" s="22" t="str">
        <f t="shared" ca="1" si="65"/>
        <v/>
      </c>
      <c r="P193" s="22" t="str">
        <f t="shared" ca="1" si="65"/>
        <v/>
      </c>
      <c r="Q193" s="22" t="str">
        <f t="shared" ca="1" si="65"/>
        <v/>
      </c>
      <c r="R193" s="22" t="str">
        <f t="shared" ca="1" si="65"/>
        <v/>
      </c>
      <c r="S193" s="22" t="str">
        <f t="shared" ca="1" si="65"/>
        <v/>
      </c>
      <c r="T193" s="22" t="str">
        <f t="shared" ca="1" si="65"/>
        <v/>
      </c>
      <c r="U193" s="22" t="str">
        <f t="shared" ca="1" si="65"/>
        <v/>
      </c>
      <c r="V193" s="22" t="str">
        <f t="shared" ca="1" si="65"/>
        <v/>
      </c>
      <c r="W193" s="23" t="str">
        <f t="shared" ca="1" si="65"/>
        <v/>
      </c>
      <c r="Y193" s="21" t="str">
        <f t="shared" ca="1" si="49"/>
        <v/>
      </c>
      <c r="Z193" s="22" t="str">
        <f t="shared" ca="1" si="49"/>
        <v/>
      </c>
      <c r="AA193" s="22" t="str">
        <f t="shared" ca="1" si="49"/>
        <v/>
      </c>
      <c r="AB193" s="22" t="str">
        <f t="shared" ca="1" si="49"/>
        <v/>
      </c>
      <c r="AC193" s="22" t="str">
        <f t="shared" ca="1" si="49"/>
        <v/>
      </c>
      <c r="AD193" s="22" t="str">
        <f t="shared" ref="AD193:AH243" ca="1" si="66">IFERROR(ABS(S193-S192),"")</f>
        <v/>
      </c>
      <c r="AE193" s="22" t="str">
        <f t="shared" ca="1" si="66"/>
        <v/>
      </c>
      <c r="AF193" s="22" t="str">
        <f t="shared" ca="1" si="66"/>
        <v/>
      </c>
      <c r="AG193" s="22" t="str">
        <f t="shared" ca="1" si="66"/>
        <v/>
      </c>
      <c r="AH193" s="23" t="str">
        <f t="shared" ca="1" si="66"/>
        <v/>
      </c>
      <c r="AJ193" s="12" t="e">
        <f t="shared" si="50"/>
        <v>#N/A</v>
      </c>
      <c r="AK193" s="51" t="e">
        <f t="shared" si="51"/>
        <v>#N/A</v>
      </c>
      <c r="AL193" s="16" t="e">
        <f t="shared" si="52"/>
        <v>#N/A</v>
      </c>
      <c r="AM193" s="16" t="e">
        <f t="shared" si="53"/>
        <v>#N/A</v>
      </c>
      <c r="AN193" s="10" t="e">
        <f t="shared" ca="1" si="54"/>
        <v>#N/A</v>
      </c>
      <c r="AO193" s="10" t="e">
        <f t="shared" ca="1" si="55"/>
        <v>#N/A</v>
      </c>
      <c r="AP193" s="10" t="e">
        <f t="shared" si="56"/>
        <v>#N/A</v>
      </c>
      <c r="AQ193" s="10" t="e">
        <f t="shared" si="57"/>
        <v>#N/A</v>
      </c>
      <c r="AR193" s="10" t="e">
        <f t="shared" si="57"/>
        <v>#N/A</v>
      </c>
      <c r="BC193" s="29"/>
    </row>
    <row r="194" spans="2:55" x14ac:dyDescent="0.25">
      <c r="B194" s="41"/>
      <c r="C194" s="40"/>
      <c r="D194" s="63"/>
      <c r="E194" s="39"/>
      <c r="F194" s="60"/>
      <c r="G194" s="42" t="str">
        <f t="shared" si="63"/>
        <v/>
      </c>
      <c r="H194" s="45">
        <f t="shared" ca="1" si="58"/>
        <v>51</v>
      </c>
      <c r="I194" s="36">
        <f t="shared" ca="1" si="59"/>
        <v>0</v>
      </c>
      <c r="J194" s="36">
        <f t="shared" ca="1" si="60"/>
        <v>0</v>
      </c>
      <c r="L194" s="1">
        <f t="shared" ca="1" si="61"/>
        <v>0</v>
      </c>
      <c r="N194" s="21" t="str">
        <f t="shared" ca="1" si="65"/>
        <v/>
      </c>
      <c r="O194" s="22" t="str">
        <f t="shared" ca="1" si="65"/>
        <v/>
      </c>
      <c r="P194" s="22" t="str">
        <f t="shared" ca="1" si="65"/>
        <v/>
      </c>
      <c r="Q194" s="22" t="str">
        <f t="shared" ca="1" si="65"/>
        <v/>
      </c>
      <c r="R194" s="22" t="str">
        <f t="shared" ca="1" si="65"/>
        <v/>
      </c>
      <c r="S194" s="22" t="str">
        <f t="shared" ca="1" si="65"/>
        <v/>
      </c>
      <c r="T194" s="22" t="str">
        <f t="shared" ca="1" si="65"/>
        <v/>
      </c>
      <c r="U194" s="22" t="str">
        <f t="shared" ca="1" si="65"/>
        <v/>
      </c>
      <c r="V194" s="22" t="str">
        <f t="shared" ca="1" si="65"/>
        <v/>
      </c>
      <c r="W194" s="23" t="str">
        <f t="shared" ca="1" si="65"/>
        <v/>
      </c>
      <c r="Y194" s="21" t="str">
        <f t="shared" ref="Y194:AC244" ca="1" si="67">IFERROR(ABS(N194-N193),"")</f>
        <v/>
      </c>
      <c r="Z194" s="22" t="str">
        <f t="shared" ca="1" si="67"/>
        <v/>
      </c>
      <c r="AA194" s="22" t="str">
        <f t="shared" ca="1" si="67"/>
        <v/>
      </c>
      <c r="AB194" s="22" t="str">
        <f t="shared" ca="1" si="67"/>
        <v/>
      </c>
      <c r="AC194" s="22" t="str">
        <f t="shared" ca="1" si="67"/>
        <v/>
      </c>
      <c r="AD194" s="22" t="str">
        <f t="shared" ca="1" si="66"/>
        <v/>
      </c>
      <c r="AE194" s="22" t="str">
        <f t="shared" ca="1" si="66"/>
        <v/>
      </c>
      <c r="AF194" s="22" t="str">
        <f t="shared" ca="1" si="66"/>
        <v/>
      </c>
      <c r="AG194" s="22" t="str">
        <f t="shared" ca="1" si="66"/>
        <v/>
      </c>
      <c r="AH194" s="23" t="str">
        <f t="shared" ca="1" si="66"/>
        <v/>
      </c>
      <c r="AJ194" s="12" t="e">
        <f t="shared" si="50"/>
        <v>#N/A</v>
      </c>
      <c r="AK194" s="51" t="e">
        <f t="shared" si="51"/>
        <v>#N/A</v>
      </c>
      <c r="AL194" s="16" t="e">
        <f t="shared" si="52"/>
        <v>#N/A</v>
      </c>
      <c r="AM194" s="16" t="e">
        <f t="shared" si="53"/>
        <v>#N/A</v>
      </c>
      <c r="AN194" s="10" t="e">
        <f t="shared" ca="1" si="54"/>
        <v>#N/A</v>
      </c>
      <c r="AO194" s="10" t="e">
        <f t="shared" ca="1" si="55"/>
        <v>#N/A</v>
      </c>
      <c r="AP194" s="10" t="e">
        <f t="shared" si="56"/>
        <v>#N/A</v>
      </c>
      <c r="AQ194" s="10" t="e">
        <f t="shared" si="57"/>
        <v>#N/A</v>
      </c>
      <c r="AR194" s="10" t="e">
        <f t="shared" si="57"/>
        <v>#N/A</v>
      </c>
      <c r="BC194" s="29"/>
    </row>
    <row r="195" spans="2:55" x14ac:dyDescent="0.25">
      <c r="B195" s="41"/>
      <c r="C195" s="40"/>
      <c r="D195" s="63"/>
      <c r="E195" s="39"/>
      <c r="F195" s="60"/>
      <c r="G195" s="42" t="str">
        <f t="shared" si="63"/>
        <v/>
      </c>
      <c r="H195" s="45">
        <f t="shared" ca="1" si="58"/>
        <v>51</v>
      </c>
      <c r="I195" s="36">
        <f t="shared" ca="1" si="59"/>
        <v>0</v>
      </c>
      <c r="J195" s="36">
        <f t="shared" ca="1" si="60"/>
        <v>0</v>
      </c>
      <c r="L195" s="1">
        <f t="shared" ca="1" si="61"/>
        <v>0</v>
      </c>
      <c r="N195" s="21" t="str">
        <f t="shared" ca="1" si="65"/>
        <v/>
      </c>
      <c r="O195" s="22" t="str">
        <f t="shared" ca="1" si="65"/>
        <v/>
      </c>
      <c r="P195" s="22" t="str">
        <f t="shared" ca="1" si="65"/>
        <v/>
      </c>
      <c r="Q195" s="22" t="str">
        <f t="shared" ca="1" si="65"/>
        <v/>
      </c>
      <c r="R195" s="22" t="str">
        <f t="shared" ca="1" si="65"/>
        <v/>
      </c>
      <c r="S195" s="22" t="str">
        <f t="shared" ca="1" si="65"/>
        <v/>
      </c>
      <c r="T195" s="22" t="str">
        <f t="shared" ca="1" si="65"/>
        <v/>
      </c>
      <c r="U195" s="22" t="str">
        <f t="shared" ca="1" si="65"/>
        <v/>
      </c>
      <c r="V195" s="22" t="str">
        <f t="shared" ca="1" si="65"/>
        <v/>
      </c>
      <c r="W195" s="23" t="str">
        <f t="shared" ca="1" si="65"/>
        <v/>
      </c>
      <c r="Y195" s="21" t="str">
        <f t="shared" ca="1" si="67"/>
        <v/>
      </c>
      <c r="Z195" s="22" t="str">
        <f t="shared" ca="1" si="67"/>
        <v/>
      </c>
      <c r="AA195" s="22" t="str">
        <f t="shared" ca="1" si="67"/>
        <v/>
      </c>
      <c r="AB195" s="22" t="str">
        <f t="shared" ca="1" si="67"/>
        <v/>
      </c>
      <c r="AC195" s="22" t="str">
        <f t="shared" ca="1" si="67"/>
        <v/>
      </c>
      <c r="AD195" s="22" t="str">
        <f t="shared" ca="1" si="66"/>
        <v/>
      </c>
      <c r="AE195" s="22" t="str">
        <f t="shared" ca="1" si="66"/>
        <v/>
      </c>
      <c r="AF195" s="22" t="str">
        <f t="shared" ca="1" si="66"/>
        <v/>
      </c>
      <c r="AG195" s="22" t="str">
        <f t="shared" ca="1" si="66"/>
        <v/>
      </c>
      <c r="AH195" s="23" t="str">
        <f t="shared" ca="1" si="66"/>
        <v/>
      </c>
      <c r="AJ195" s="12" t="e">
        <f t="shared" si="50"/>
        <v>#N/A</v>
      </c>
      <c r="AK195" s="51" t="e">
        <f t="shared" si="51"/>
        <v>#N/A</v>
      </c>
      <c r="AL195" s="16" t="e">
        <f t="shared" si="52"/>
        <v>#N/A</v>
      </c>
      <c r="AM195" s="16" t="e">
        <f t="shared" si="53"/>
        <v>#N/A</v>
      </c>
      <c r="AN195" s="10" t="e">
        <f t="shared" ca="1" si="54"/>
        <v>#N/A</v>
      </c>
      <c r="AO195" s="10" t="e">
        <f t="shared" ca="1" si="55"/>
        <v>#N/A</v>
      </c>
      <c r="AP195" s="10" t="e">
        <f t="shared" si="56"/>
        <v>#N/A</v>
      </c>
      <c r="AQ195" s="10" t="e">
        <f t="shared" si="57"/>
        <v>#N/A</v>
      </c>
      <c r="AR195" s="10" t="e">
        <f t="shared" si="57"/>
        <v>#N/A</v>
      </c>
      <c r="BC195" s="29"/>
    </row>
    <row r="196" spans="2:55" x14ac:dyDescent="0.25">
      <c r="B196" s="41"/>
      <c r="C196" s="40"/>
      <c r="D196" s="63"/>
      <c r="E196" s="39"/>
      <c r="F196" s="60"/>
      <c r="G196" s="42" t="str">
        <f t="shared" si="63"/>
        <v/>
      </c>
      <c r="H196" s="45">
        <f t="shared" ca="1" si="58"/>
        <v>51</v>
      </c>
      <c r="I196" s="36">
        <f t="shared" ca="1" si="59"/>
        <v>0</v>
      </c>
      <c r="J196" s="36">
        <f t="shared" ca="1" si="60"/>
        <v>0</v>
      </c>
      <c r="L196" s="1">
        <f t="shared" ca="1" si="61"/>
        <v>0</v>
      </c>
      <c r="N196" s="21" t="str">
        <f t="shared" ca="1" si="65"/>
        <v/>
      </c>
      <c r="O196" s="22" t="str">
        <f t="shared" ca="1" si="65"/>
        <v/>
      </c>
      <c r="P196" s="22" t="str">
        <f t="shared" ca="1" si="65"/>
        <v/>
      </c>
      <c r="Q196" s="22" t="str">
        <f t="shared" ca="1" si="65"/>
        <v/>
      </c>
      <c r="R196" s="22" t="str">
        <f t="shared" ca="1" si="65"/>
        <v/>
      </c>
      <c r="S196" s="22" t="str">
        <f t="shared" ca="1" si="65"/>
        <v/>
      </c>
      <c r="T196" s="22" t="str">
        <f t="shared" ca="1" si="65"/>
        <v/>
      </c>
      <c r="U196" s="22" t="str">
        <f t="shared" ca="1" si="65"/>
        <v/>
      </c>
      <c r="V196" s="22" t="str">
        <f t="shared" ca="1" si="65"/>
        <v/>
      </c>
      <c r="W196" s="23" t="str">
        <f t="shared" ca="1" si="65"/>
        <v/>
      </c>
      <c r="Y196" s="21" t="str">
        <f t="shared" ca="1" si="67"/>
        <v/>
      </c>
      <c r="Z196" s="22" t="str">
        <f t="shared" ca="1" si="67"/>
        <v/>
      </c>
      <c r="AA196" s="22" t="str">
        <f t="shared" ca="1" si="67"/>
        <v/>
      </c>
      <c r="AB196" s="22" t="str">
        <f t="shared" ca="1" si="67"/>
        <v/>
      </c>
      <c r="AC196" s="22" t="str">
        <f t="shared" ca="1" si="67"/>
        <v/>
      </c>
      <c r="AD196" s="22" t="str">
        <f t="shared" ca="1" si="66"/>
        <v/>
      </c>
      <c r="AE196" s="22" t="str">
        <f t="shared" ca="1" si="66"/>
        <v/>
      </c>
      <c r="AF196" s="22" t="str">
        <f t="shared" ca="1" si="66"/>
        <v/>
      </c>
      <c r="AG196" s="22" t="str">
        <f t="shared" ca="1" si="66"/>
        <v/>
      </c>
      <c r="AH196" s="23" t="str">
        <f t="shared" ca="1" si="66"/>
        <v/>
      </c>
      <c r="AJ196" s="12" t="e">
        <f t="shared" si="50"/>
        <v>#N/A</v>
      </c>
      <c r="AK196" s="51" t="e">
        <f t="shared" si="51"/>
        <v>#N/A</v>
      </c>
      <c r="AL196" s="16" t="e">
        <f t="shared" si="52"/>
        <v>#N/A</v>
      </c>
      <c r="AM196" s="16" t="e">
        <f t="shared" si="53"/>
        <v>#N/A</v>
      </c>
      <c r="AN196" s="10" t="e">
        <f t="shared" ca="1" si="54"/>
        <v>#N/A</v>
      </c>
      <c r="AO196" s="10" t="e">
        <f t="shared" ca="1" si="55"/>
        <v>#N/A</v>
      </c>
      <c r="AP196" s="10" t="e">
        <f t="shared" si="56"/>
        <v>#N/A</v>
      </c>
      <c r="AQ196" s="10" t="e">
        <f t="shared" si="57"/>
        <v>#N/A</v>
      </c>
      <c r="AR196" s="10" t="e">
        <f t="shared" si="57"/>
        <v>#N/A</v>
      </c>
      <c r="BC196" s="29"/>
    </row>
    <row r="197" spans="2:55" x14ac:dyDescent="0.25">
      <c r="B197" s="41"/>
      <c r="C197" s="40"/>
      <c r="D197" s="63"/>
      <c r="E197" s="39"/>
      <c r="F197" s="60"/>
      <c r="G197" s="42" t="str">
        <f t="shared" si="63"/>
        <v/>
      </c>
      <c r="H197" s="45">
        <f t="shared" ca="1" si="58"/>
        <v>51</v>
      </c>
      <c r="I197" s="36">
        <f t="shared" ca="1" si="59"/>
        <v>0</v>
      </c>
      <c r="J197" s="36">
        <f t="shared" ca="1" si="60"/>
        <v>0</v>
      </c>
      <c r="L197" s="1">
        <f t="shared" ca="1" si="61"/>
        <v>0</v>
      </c>
      <c r="N197" s="21" t="str">
        <f t="shared" ca="1" si="65"/>
        <v/>
      </c>
      <c r="O197" s="22" t="str">
        <f t="shared" ca="1" si="65"/>
        <v/>
      </c>
      <c r="P197" s="22" t="str">
        <f t="shared" ca="1" si="65"/>
        <v/>
      </c>
      <c r="Q197" s="22" t="str">
        <f t="shared" ca="1" si="65"/>
        <v/>
      </c>
      <c r="R197" s="22" t="str">
        <f t="shared" ca="1" si="65"/>
        <v/>
      </c>
      <c r="S197" s="22" t="str">
        <f t="shared" ca="1" si="65"/>
        <v/>
      </c>
      <c r="T197" s="22" t="str">
        <f t="shared" ca="1" si="65"/>
        <v/>
      </c>
      <c r="U197" s="22" t="str">
        <f t="shared" ca="1" si="65"/>
        <v/>
      </c>
      <c r="V197" s="22" t="str">
        <f t="shared" ca="1" si="65"/>
        <v/>
      </c>
      <c r="W197" s="23" t="str">
        <f t="shared" ca="1" si="65"/>
        <v/>
      </c>
      <c r="Y197" s="21" t="str">
        <f t="shared" ca="1" si="67"/>
        <v/>
      </c>
      <c r="Z197" s="22" t="str">
        <f t="shared" ca="1" si="67"/>
        <v/>
      </c>
      <c r="AA197" s="22" t="str">
        <f t="shared" ca="1" si="67"/>
        <v/>
      </c>
      <c r="AB197" s="22" t="str">
        <f t="shared" ca="1" si="67"/>
        <v/>
      </c>
      <c r="AC197" s="22" t="str">
        <f t="shared" ca="1" si="67"/>
        <v/>
      </c>
      <c r="AD197" s="22" t="str">
        <f t="shared" ca="1" si="66"/>
        <v/>
      </c>
      <c r="AE197" s="22" t="str">
        <f t="shared" ca="1" si="66"/>
        <v/>
      </c>
      <c r="AF197" s="22" t="str">
        <f t="shared" ca="1" si="66"/>
        <v/>
      </c>
      <c r="AG197" s="22" t="str">
        <f t="shared" ca="1" si="66"/>
        <v/>
      </c>
      <c r="AH197" s="23" t="str">
        <f t="shared" ca="1" si="66"/>
        <v/>
      </c>
      <c r="AJ197" s="12" t="e">
        <f t="shared" si="50"/>
        <v>#N/A</v>
      </c>
      <c r="AK197" s="51" t="e">
        <f t="shared" si="51"/>
        <v>#N/A</v>
      </c>
      <c r="AL197" s="16" t="e">
        <f t="shared" si="52"/>
        <v>#N/A</v>
      </c>
      <c r="AM197" s="16" t="e">
        <f t="shared" si="53"/>
        <v>#N/A</v>
      </c>
      <c r="AN197" s="10" t="e">
        <f t="shared" ca="1" si="54"/>
        <v>#N/A</v>
      </c>
      <c r="AO197" s="10" t="e">
        <f t="shared" ca="1" si="55"/>
        <v>#N/A</v>
      </c>
      <c r="AP197" s="10" t="e">
        <f t="shared" si="56"/>
        <v>#N/A</v>
      </c>
      <c r="AQ197" s="10" t="e">
        <f t="shared" si="57"/>
        <v>#N/A</v>
      </c>
      <c r="AR197" s="10" t="e">
        <f t="shared" si="57"/>
        <v>#N/A</v>
      </c>
      <c r="BC197" s="29"/>
    </row>
    <row r="198" spans="2:55" x14ac:dyDescent="0.25">
      <c r="B198" s="41"/>
      <c r="C198" s="40"/>
      <c r="D198" s="63"/>
      <c r="E198" s="39"/>
      <c r="F198" s="60"/>
      <c r="G198" s="42" t="str">
        <f t="shared" si="63"/>
        <v/>
      </c>
      <c r="H198" s="45">
        <f t="shared" ca="1" si="58"/>
        <v>51</v>
      </c>
      <c r="I198" s="36">
        <f t="shared" ca="1" si="59"/>
        <v>0</v>
      </c>
      <c r="J198" s="36">
        <f t="shared" ca="1" si="60"/>
        <v>0</v>
      </c>
      <c r="L198" s="1">
        <f t="shared" ca="1" si="61"/>
        <v>0</v>
      </c>
      <c r="N198" s="21" t="str">
        <f t="shared" ca="1" si="65"/>
        <v/>
      </c>
      <c r="O198" s="22" t="str">
        <f t="shared" ca="1" si="65"/>
        <v/>
      </c>
      <c r="P198" s="22" t="str">
        <f t="shared" ca="1" si="65"/>
        <v/>
      </c>
      <c r="Q198" s="22" t="str">
        <f t="shared" ca="1" si="65"/>
        <v/>
      </c>
      <c r="R198" s="22" t="str">
        <f t="shared" ca="1" si="65"/>
        <v/>
      </c>
      <c r="S198" s="22" t="str">
        <f t="shared" ca="1" si="65"/>
        <v/>
      </c>
      <c r="T198" s="22" t="str">
        <f t="shared" ca="1" si="65"/>
        <v/>
      </c>
      <c r="U198" s="22" t="str">
        <f t="shared" ca="1" si="65"/>
        <v/>
      </c>
      <c r="V198" s="22" t="str">
        <f t="shared" ca="1" si="65"/>
        <v/>
      </c>
      <c r="W198" s="23" t="str">
        <f t="shared" ca="1" si="65"/>
        <v/>
      </c>
      <c r="Y198" s="21" t="str">
        <f t="shared" ca="1" si="67"/>
        <v/>
      </c>
      <c r="Z198" s="22" t="str">
        <f t="shared" ca="1" si="67"/>
        <v/>
      </c>
      <c r="AA198" s="22" t="str">
        <f t="shared" ca="1" si="67"/>
        <v/>
      </c>
      <c r="AB198" s="22" t="str">
        <f t="shared" ca="1" si="67"/>
        <v/>
      </c>
      <c r="AC198" s="22" t="str">
        <f t="shared" ca="1" si="67"/>
        <v/>
      </c>
      <c r="AD198" s="22" t="str">
        <f t="shared" ca="1" si="66"/>
        <v/>
      </c>
      <c r="AE198" s="22" t="str">
        <f t="shared" ca="1" si="66"/>
        <v/>
      </c>
      <c r="AF198" s="22" t="str">
        <f t="shared" ca="1" si="66"/>
        <v/>
      </c>
      <c r="AG198" s="22" t="str">
        <f t="shared" ca="1" si="66"/>
        <v/>
      </c>
      <c r="AH198" s="23" t="str">
        <f t="shared" ca="1" si="66"/>
        <v/>
      </c>
      <c r="AJ198" s="12" t="e">
        <f t="shared" si="50"/>
        <v>#N/A</v>
      </c>
      <c r="AK198" s="51" t="e">
        <f t="shared" si="51"/>
        <v>#N/A</v>
      </c>
      <c r="AL198" s="16" t="e">
        <f t="shared" si="52"/>
        <v>#N/A</v>
      </c>
      <c r="AM198" s="16" t="e">
        <f t="shared" si="53"/>
        <v>#N/A</v>
      </c>
      <c r="AN198" s="10" t="e">
        <f t="shared" ca="1" si="54"/>
        <v>#N/A</v>
      </c>
      <c r="AO198" s="10" t="e">
        <f t="shared" ca="1" si="55"/>
        <v>#N/A</v>
      </c>
      <c r="AP198" s="10" t="e">
        <f t="shared" si="56"/>
        <v>#N/A</v>
      </c>
      <c r="AQ198" s="10" t="e">
        <f t="shared" si="57"/>
        <v>#N/A</v>
      </c>
      <c r="AR198" s="10" t="e">
        <f t="shared" si="57"/>
        <v>#N/A</v>
      </c>
      <c r="BC198" s="29"/>
    </row>
    <row r="199" spans="2:55" x14ac:dyDescent="0.25">
      <c r="B199" s="41"/>
      <c r="C199" s="40"/>
      <c r="D199" s="63"/>
      <c r="E199" s="39"/>
      <c r="F199" s="60"/>
      <c r="G199" s="42" t="str">
        <f t="shared" si="63"/>
        <v/>
      </c>
      <c r="H199" s="45">
        <f t="shared" ca="1" si="58"/>
        <v>51</v>
      </c>
      <c r="I199" s="36">
        <f t="shared" ca="1" si="59"/>
        <v>0</v>
      </c>
      <c r="J199" s="36">
        <f t="shared" ca="1" si="60"/>
        <v>0</v>
      </c>
      <c r="L199" s="1">
        <f t="shared" ca="1" si="61"/>
        <v>0</v>
      </c>
      <c r="N199" s="21" t="str">
        <f t="shared" ca="1" si="65"/>
        <v/>
      </c>
      <c r="O199" s="22" t="str">
        <f t="shared" ca="1" si="65"/>
        <v/>
      </c>
      <c r="P199" s="22" t="str">
        <f t="shared" ca="1" si="65"/>
        <v/>
      </c>
      <c r="Q199" s="22" t="str">
        <f t="shared" ca="1" si="65"/>
        <v/>
      </c>
      <c r="R199" s="22" t="str">
        <f t="shared" ca="1" si="65"/>
        <v/>
      </c>
      <c r="S199" s="22" t="str">
        <f t="shared" ca="1" si="65"/>
        <v/>
      </c>
      <c r="T199" s="22" t="str">
        <f t="shared" ca="1" si="65"/>
        <v/>
      </c>
      <c r="U199" s="22" t="str">
        <f t="shared" ca="1" si="65"/>
        <v/>
      </c>
      <c r="V199" s="22" t="str">
        <f t="shared" ca="1" si="65"/>
        <v/>
      </c>
      <c r="W199" s="23" t="str">
        <f t="shared" ca="1" si="65"/>
        <v/>
      </c>
      <c r="Y199" s="21" t="str">
        <f t="shared" ca="1" si="67"/>
        <v/>
      </c>
      <c r="Z199" s="22" t="str">
        <f t="shared" ca="1" si="67"/>
        <v/>
      </c>
      <c r="AA199" s="22" t="str">
        <f t="shared" ca="1" si="67"/>
        <v/>
      </c>
      <c r="AB199" s="22" t="str">
        <f t="shared" ca="1" si="67"/>
        <v/>
      </c>
      <c r="AC199" s="22" t="str">
        <f t="shared" ca="1" si="67"/>
        <v/>
      </c>
      <c r="AD199" s="22" t="str">
        <f t="shared" ca="1" si="66"/>
        <v/>
      </c>
      <c r="AE199" s="22" t="str">
        <f t="shared" ca="1" si="66"/>
        <v/>
      </c>
      <c r="AF199" s="22" t="str">
        <f t="shared" ca="1" si="66"/>
        <v/>
      </c>
      <c r="AG199" s="22" t="str">
        <f t="shared" ca="1" si="66"/>
        <v/>
      </c>
      <c r="AH199" s="23" t="str">
        <f t="shared" ca="1" si="66"/>
        <v/>
      </c>
      <c r="AJ199" s="12" t="e">
        <f t="shared" si="50"/>
        <v>#N/A</v>
      </c>
      <c r="AK199" s="51" t="e">
        <f t="shared" si="51"/>
        <v>#N/A</v>
      </c>
      <c r="AL199" s="16" t="e">
        <f t="shared" si="52"/>
        <v>#N/A</v>
      </c>
      <c r="AM199" s="16" t="e">
        <f t="shared" si="53"/>
        <v>#N/A</v>
      </c>
      <c r="AN199" s="10" t="e">
        <f t="shared" ca="1" si="54"/>
        <v>#N/A</v>
      </c>
      <c r="AO199" s="10" t="e">
        <f t="shared" ca="1" si="55"/>
        <v>#N/A</v>
      </c>
      <c r="AP199" s="10" t="e">
        <f t="shared" si="56"/>
        <v>#N/A</v>
      </c>
      <c r="AQ199" s="10" t="e">
        <f t="shared" si="57"/>
        <v>#N/A</v>
      </c>
      <c r="AR199" s="10" t="e">
        <f t="shared" si="57"/>
        <v>#N/A</v>
      </c>
      <c r="BC199" s="29"/>
    </row>
    <row r="200" spans="2:55" x14ac:dyDescent="0.25">
      <c r="B200" s="41"/>
      <c r="C200" s="40"/>
      <c r="D200" s="63"/>
      <c r="E200" s="39"/>
      <c r="F200" s="60"/>
      <c r="G200" s="42" t="str">
        <f t="shared" si="63"/>
        <v/>
      </c>
      <c r="H200" s="45">
        <f t="shared" ca="1" si="58"/>
        <v>51</v>
      </c>
      <c r="I200" s="36">
        <f t="shared" ca="1" si="59"/>
        <v>0</v>
      </c>
      <c r="J200" s="36">
        <f t="shared" ca="1" si="60"/>
        <v>0</v>
      </c>
      <c r="L200" s="1">
        <f t="shared" ca="1" si="61"/>
        <v>0</v>
      </c>
      <c r="N200" s="21" t="str">
        <f t="shared" ca="1" si="65"/>
        <v/>
      </c>
      <c r="O200" s="22" t="str">
        <f t="shared" ca="1" si="65"/>
        <v/>
      </c>
      <c r="P200" s="22" t="str">
        <f t="shared" ca="1" si="65"/>
        <v/>
      </c>
      <c r="Q200" s="22" t="str">
        <f t="shared" ca="1" si="65"/>
        <v/>
      </c>
      <c r="R200" s="22" t="str">
        <f t="shared" ca="1" si="65"/>
        <v/>
      </c>
      <c r="S200" s="22" t="str">
        <f t="shared" ca="1" si="65"/>
        <v/>
      </c>
      <c r="T200" s="22" t="str">
        <f t="shared" ca="1" si="65"/>
        <v/>
      </c>
      <c r="U200" s="22" t="str">
        <f t="shared" ca="1" si="65"/>
        <v/>
      </c>
      <c r="V200" s="22" t="str">
        <f t="shared" ca="1" si="65"/>
        <v/>
      </c>
      <c r="W200" s="23" t="str">
        <f t="shared" ca="1" si="65"/>
        <v/>
      </c>
      <c r="Y200" s="21" t="str">
        <f t="shared" ca="1" si="67"/>
        <v/>
      </c>
      <c r="Z200" s="22" t="str">
        <f t="shared" ca="1" si="67"/>
        <v/>
      </c>
      <c r="AA200" s="22" t="str">
        <f t="shared" ca="1" si="67"/>
        <v/>
      </c>
      <c r="AB200" s="22" t="str">
        <f t="shared" ca="1" si="67"/>
        <v/>
      </c>
      <c r="AC200" s="22" t="str">
        <f t="shared" ca="1" si="67"/>
        <v/>
      </c>
      <c r="AD200" s="22" t="str">
        <f t="shared" ca="1" si="66"/>
        <v/>
      </c>
      <c r="AE200" s="22" t="str">
        <f t="shared" ca="1" si="66"/>
        <v/>
      </c>
      <c r="AF200" s="22" t="str">
        <f t="shared" ca="1" si="66"/>
        <v/>
      </c>
      <c r="AG200" s="22" t="str">
        <f t="shared" ca="1" si="66"/>
        <v/>
      </c>
      <c r="AH200" s="23" t="str">
        <f t="shared" ca="1" si="66"/>
        <v/>
      </c>
      <c r="AJ200" s="12" t="e">
        <f t="shared" si="50"/>
        <v>#N/A</v>
      </c>
      <c r="AK200" s="51" t="e">
        <f t="shared" si="51"/>
        <v>#N/A</v>
      </c>
      <c r="AL200" s="16" t="e">
        <f t="shared" si="52"/>
        <v>#N/A</v>
      </c>
      <c r="AM200" s="16" t="e">
        <f t="shared" si="53"/>
        <v>#N/A</v>
      </c>
      <c r="AN200" s="10" t="e">
        <f t="shared" ca="1" si="54"/>
        <v>#N/A</v>
      </c>
      <c r="AO200" s="10" t="e">
        <f t="shared" ca="1" si="55"/>
        <v>#N/A</v>
      </c>
      <c r="AP200" s="10" t="e">
        <f t="shared" si="56"/>
        <v>#N/A</v>
      </c>
      <c r="AQ200" s="10" t="e">
        <f t="shared" si="57"/>
        <v>#N/A</v>
      </c>
      <c r="AR200" s="10" t="e">
        <f t="shared" si="57"/>
        <v>#N/A</v>
      </c>
      <c r="BC200" s="29"/>
    </row>
    <row r="201" spans="2:55" x14ac:dyDescent="0.25">
      <c r="B201" s="41"/>
      <c r="C201" s="40"/>
      <c r="D201" s="63"/>
      <c r="E201" s="39"/>
      <c r="F201" s="60"/>
      <c r="G201" s="42" t="str">
        <f t="shared" si="63"/>
        <v/>
      </c>
      <c r="H201" s="45">
        <f t="shared" ca="1" si="58"/>
        <v>51</v>
      </c>
      <c r="I201" s="36">
        <f t="shared" ca="1" si="59"/>
        <v>0</v>
      </c>
      <c r="J201" s="36">
        <f t="shared" ca="1" si="60"/>
        <v>0</v>
      </c>
      <c r="L201" s="1">
        <f t="shared" ca="1" si="61"/>
        <v>0</v>
      </c>
      <c r="N201" s="21" t="str">
        <f t="shared" ca="1" si="65"/>
        <v/>
      </c>
      <c r="O201" s="22" t="str">
        <f t="shared" ca="1" si="65"/>
        <v/>
      </c>
      <c r="P201" s="22" t="str">
        <f t="shared" ca="1" si="65"/>
        <v/>
      </c>
      <c r="Q201" s="22" t="str">
        <f t="shared" ca="1" si="65"/>
        <v/>
      </c>
      <c r="R201" s="22" t="str">
        <f t="shared" ca="1" si="65"/>
        <v/>
      </c>
      <c r="S201" s="22" t="str">
        <f t="shared" ca="1" si="65"/>
        <v/>
      </c>
      <c r="T201" s="22" t="str">
        <f t="shared" ca="1" si="65"/>
        <v/>
      </c>
      <c r="U201" s="22" t="str">
        <f t="shared" ca="1" si="65"/>
        <v/>
      </c>
      <c r="V201" s="22" t="str">
        <f t="shared" ca="1" si="65"/>
        <v/>
      </c>
      <c r="W201" s="23" t="str">
        <f t="shared" ca="1" si="65"/>
        <v/>
      </c>
      <c r="Y201" s="21" t="str">
        <f t="shared" ca="1" si="67"/>
        <v/>
      </c>
      <c r="Z201" s="22" t="str">
        <f t="shared" ca="1" si="67"/>
        <v/>
      </c>
      <c r="AA201" s="22" t="str">
        <f t="shared" ca="1" si="67"/>
        <v/>
      </c>
      <c r="AB201" s="22" t="str">
        <f t="shared" ca="1" si="67"/>
        <v/>
      </c>
      <c r="AC201" s="22" t="str">
        <f t="shared" ca="1" si="67"/>
        <v/>
      </c>
      <c r="AD201" s="22" t="str">
        <f t="shared" ca="1" si="66"/>
        <v/>
      </c>
      <c r="AE201" s="22" t="str">
        <f t="shared" ca="1" si="66"/>
        <v/>
      </c>
      <c r="AF201" s="22" t="str">
        <f t="shared" ca="1" si="66"/>
        <v/>
      </c>
      <c r="AG201" s="22" t="str">
        <f t="shared" ca="1" si="66"/>
        <v/>
      </c>
      <c r="AH201" s="23" t="str">
        <f t="shared" ca="1" si="66"/>
        <v/>
      </c>
      <c r="AJ201" s="12" t="e">
        <f t="shared" si="50"/>
        <v>#N/A</v>
      </c>
      <c r="AK201" s="51" t="e">
        <f t="shared" si="51"/>
        <v>#N/A</v>
      </c>
      <c r="AL201" s="16" t="e">
        <f t="shared" si="52"/>
        <v>#N/A</v>
      </c>
      <c r="AM201" s="16" t="e">
        <f t="shared" si="53"/>
        <v>#N/A</v>
      </c>
      <c r="AN201" s="10" t="e">
        <f t="shared" ca="1" si="54"/>
        <v>#N/A</v>
      </c>
      <c r="AO201" s="10" t="e">
        <f t="shared" ca="1" si="55"/>
        <v>#N/A</v>
      </c>
      <c r="AP201" s="10" t="e">
        <f t="shared" si="56"/>
        <v>#N/A</v>
      </c>
      <c r="AQ201" s="10" t="e">
        <f t="shared" si="57"/>
        <v>#N/A</v>
      </c>
      <c r="AR201" s="10" t="e">
        <f t="shared" si="57"/>
        <v>#N/A</v>
      </c>
      <c r="BC201" s="29"/>
    </row>
    <row r="202" spans="2:55" x14ac:dyDescent="0.25">
      <c r="B202" s="41"/>
      <c r="C202" s="40"/>
      <c r="D202" s="63"/>
      <c r="E202" s="39"/>
      <c r="F202" s="60"/>
      <c r="G202" s="42" t="str">
        <f t="shared" si="63"/>
        <v/>
      </c>
      <c r="H202" s="45">
        <f t="shared" ca="1" si="58"/>
        <v>51</v>
      </c>
      <c r="I202" s="36">
        <f t="shared" ca="1" si="59"/>
        <v>0</v>
      </c>
      <c r="J202" s="36">
        <f t="shared" ca="1" si="60"/>
        <v>0</v>
      </c>
      <c r="L202" s="1">
        <f t="shared" ca="1" si="61"/>
        <v>0</v>
      </c>
      <c r="N202" s="21" t="str">
        <f t="shared" ca="1" si="65"/>
        <v/>
      </c>
      <c r="O202" s="22" t="str">
        <f t="shared" ca="1" si="65"/>
        <v/>
      </c>
      <c r="P202" s="22" t="str">
        <f t="shared" ca="1" si="65"/>
        <v/>
      </c>
      <c r="Q202" s="22" t="str">
        <f t="shared" ca="1" si="65"/>
        <v/>
      </c>
      <c r="R202" s="22" t="str">
        <f t="shared" ca="1" si="65"/>
        <v/>
      </c>
      <c r="S202" s="22" t="str">
        <f t="shared" ca="1" si="65"/>
        <v/>
      </c>
      <c r="T202" s="22" t="str">
        <f t="shared" ca="1" si="65"/>
        <v/>
      </c>
      <c r="U202" s="22" t="str">
        <f t="shared" ca="1" si="65"/>
        <v/>
      </c>
      <c r="V202" s="22" t="str">
        <f t="shared" ca="1" si="65"/>
        <v/>
      </c>
      <c r="W202" s="23" t="str">
        <f t="shared" ca="1" si="65"/>
        <v/>
      </c>
      <c r="Y202" s="21" t="str">
        <f t="shared" ca="1" si="67"/>
        <v/>
      </c>
      <c r="Z202" s="22" t="str">
        <f t="shared" ca="1" si="67"/>
        <v/>
      </c>
      <c r="AA202" s="22" t="str">
        <f t="shared" ca="1" si="67"/>
        <v/>
      </c>
      <c r="AB202" s="22" t="str">
        <f t="shared" ca="1" si="67"/>
        <v/>
      </c>
      <c r="AC202" s="22" t="str">
        <f t="shared" ca="1" si="67"/>
        <v/>
      </c>
      <c r="AD202" s="22" t="str">
        <f t="shared" ca="1" si="66"/>
        <v/>
      </c>
      <c r="AE202" s="22" t="str">
        <f t="shared" ca="1" si="66"/>
        <v/>
      </c>
      <c r="AF202" s="22" t="str">
        <f t="shared" ca="1" si="66"/>
        <v/>
      </c>
      <c r="AG202" s="22" t="str">
        <f t="shared" ca="1" si="66"/>
        <v/>
      </c>
      <c r="AH202" s="23" t="str">
        <f t="shared" ca="1" si="66"/>
        <v/>
      </c>
      <c r="AJ202" s="12" t="e">
        <f t="shared" si="50"/>
        <v>#N/A</v>
      </c>
      <c r="AK202" s="51" t="e">
        <f t="shared" si="51"/>
        <v>#N/A</v>
      </c>
      <c r="AL202" s="16" t="e">
        <f t="shared" si="52"/>
        <v>#N/A</v>
      </c>
      <c r="AM202" s="16" t="e">
        <f t="shared" si="53"/>
        <v>#N/A</v>
      </c>
      <c r="AN202" s="10" t="e">
        <f t="shared" ca="1" si="54"/>
        <v>#N/A</v>
      </c>
      <c r="AO202" s="10" t="e">
        <f t="shared" ca="1" si="55"/>
        <v>#N/A</v>
      </c>
      <c r="AP202" s="10" t="e">
        <f t="shared" si="56"/>
        <v>#N/A</v>
      </c>
      <c r="AQ202" s="10" t="e">
        <f t="shared" si="57"/>
        <v>#N/A</v>
      </c>
      <c r="AR202" s="10" t="e">
        <f t="shared" si="57"/>
        <v>#N/A</v>
      </c>
      <c r="BC202" s="29"/>
    </row>
    <row r="203" spans="2:55" x14ac:dyDescent="0.25">
      <c r="B203" s="41"/>
      <c r="C203" s="40"/>
      <c r="D203" s="63"/>
      <c r="E203" s="39"/>
      <c r="F203" s="60"/>
      <c r="G203" s="42" t="str">
        <f t="shared" si="63"/>
        <v/>
      </c>
      <c r="H203" s="45">
        <f t="shared" ca="1" si="58"/>
        <v>51</v>
      </c>
      <c r="I203" s="36">
        <f t="shared" ca="1" si="59"/>
        <v>0</v>
      </c>
      <c r="J203" s="36">
        <f t="shared" ca="1" si="60"/>
        <v>0</v>
      </c>
      <c r="L203" s="1">
        <f t="shared" ca="1" si="61"/>
        <v>0</v>
      </c>
      <c r="N203" s="21" t="str">
        <f t="shared" ref="N203:W218" ca="1" si="68">IF(ISNUMBER($C203),IF($G203&lt;=$C$9,IF($L203=N$25,$C203,""),IF(COUNT(INDIRECT(ADDRESS(ROW(N$26),COLUMN())&amp;":"&amp;ADDRESS(ROW()-1,COLUMN())))&gt;$C$13,"",IF($L203=N$25,$C203,""))),"")</f>
        <v/>
      </c>
      <c r="O203" s="22" t="str">
        <f t="shared" ca="1" si="68"/>
        <v/>
      </c>
      <c r="P203" s="22" t="str">
        <f t="shared" ca="1" si="68"/>
        <v/>
      </c>
      <c r="Q203" s="22" t="str">
        <f t="shared" ca="1" si="68"/>
        <v/>
      </c>
      <c r="R203" s="22" t="str">
        <f t="shared" ca="1" si="68"/>
        <v/>
      </c>
      <c r="S203" s="22" t="str">
        <f t="shared" ca="1" si="68"/>
        <v/>
      </c>
      <c r="T203" s="22" t="str">
        <f t="shared" ca="1" si="68"/>
        <v/>
      </c>
      <c r="U203" s="22" t="str">
        <f t="shared" ca="1" si="68"/>
        <v/>
      </c>
      <c r="V203" s="22" t="str">
        <f t="shared" ca="1" si="68"/>
        <v/>
      </c>
      <c r="W203" s="23" t="str">
        <f t="shared" ca="1" si="68"/>
        <v/>
      </c>
      <c r="Y203" s="21" t="str">
        <f t="shared" ca="1" si="67"/>
        <v/>
      </c>
      <c r="Z203" s="22" t="str">
        <f t="shared" ca="1" si="67"/>
        <v/>
      </c>
      <c r="AA203" s="22" t="str">
        <f t="shared" ca="1" si="67"/>
        <v/>
      </c>
      <c r="AB203" s="22" t="str">
        <f t="shared" ca="1" si="67"/>
        <v/>
      </c>
      <c r="AC203" s="22" t="str">
        <f t="shared" ca="1" si="67"/>
        <v/>
      </c>
      <c r="AD203" s="22" t="str">
        <f t="shared" ca="1" si="66"/>
        <v/>
      </c>
      <c r="AE203" s="22" t="str">
        <f t="shared" ca="1" si="66"/>
        <v/>
      </c>
      <c r="AF203" s="22" t="str">
        <f t="shared" ca="1" si="66"/>
        <v/>
      </c>
      <c r="AG203" s="22" t="str">
        <f t="shared" ca="1" si="66"/>
        <v/>
      </c>
      <c r="AH203" s="23" t="str">
        <f t="shared" ca="1" si="66"/>
        <v/>
      </c>
      <c r="AJ203" s="12" t="e">
        <f t="shared" si="50"/>
        <v>#N/A</v>
      </c>
      <c r="AK203" s="51" t="e">
        <f t="shared" si="51"/>
        <v>#N/A</v>
      </c>
      <c r="AL203" s="16" t="e">
        <f t="shared" si="52"/>
        <v>#N/A</v>
      </c>
      <c r="AM203" s="16" t="e">
        <f t="shared" si="53"/>
        <v>#N/A</v>
      </c>
      <c r="AN203" s="10" t="e">
        <f t="shared" ca="1" si="54"/>
        <v>#N/A</v>
      </c>
      <c r="AO203" s="10" t="e">
        <f t="shared" ca="1" si="55"/>
        <v>#N/A</v>
      </c>
      <c r="AP203" s="10" t="e">
        <f t="shared" si="56"/>
        <v>#N/A</v>
      </c>
      <c r="AQ203" s="10" t="e">
        <f t="shared" si="57"/>
        <v>#N/A</v>
      </c>
      <c r="AR203" s="10" t="e">
        <f t="shared" si="57"/>
        <v>#N/A</v>
      </c>
      <c r="BC203" s="29"/>
    </row>
    <row r="204" spans="2:55" x14ac:dyDescent="0.25">
      <c r="B204" s="41"/>
      <c r="C204" s="40"/>
      <c r="D204" s="63"/>
      <c r="E204" s="39"/>
      <c r="F204" s="60"/>
      <c r="G204" s="42" t="str">
        <f t="shared" si="63"/>
        <v/>
      </c>
      <c r="H204" s="45">
        <f t="shared" ca="1" si="58"/>
        <v>51</v>
      </c>
      <c r="I204" s="36">
        <f t="shared" ca="1" si="59"/>
        <v>0</v>
      </c>
      <c r="J204" s="36">
        <f t="shared" ca="1" si="60"/>
        <v>0</v>
      </c>
      <c r="L204" s="1">
        <f t="shared" ca="1" si="61"/>
        <v>0</v>
      </c>
      <c r="N204" s="21" t="str">
        <f t="shared" ca="1" si="68"/>
        <v/>
      </c>
      <c r="O204" s="22" t="str">
        <f t="shared" ca="1" si="68"/>
        <v/>
      </c>
      <c r="P204" s="22" t="str">
        <f t="shared" ca="1" si="68"/>
        <v/>
      </c>
      <c r="Q204" s="22" t="str">
        <f t="shared" ca="1" si="68"/>
        <v/>
      </c>
      <c r="R204" s="22" t="str">
        <f t="shared" ca="1" si="68"/>
        <v/>
      </c>
      <c r="S204" s="22" t="str">
        <f t="shared" ca="1" si="68"/>
        <v/>
      </c>
      <c r="T204" s="22" t="str">
        <f t="shared" ca="1" si="68"/>
        <v/>
      </c>
      <c r="U204" s="22" t="str">
        <f t="shared" ca="1" si="68"/>
        <v/>
      </c>
      <c r="V204" s="22" t="str">
        <f t="shared" ca="1" si="68"/>
        <v/>
      </c>
      <c r="W204" s="23" t="str">
        <f t="shared" ca="1" si="68"/>
        <v/>
      </c>
      <c r="Y204" s="21" t="str">
        <f t="shared" ca="1" si="67"/>
        <v/>
      </c>
      <c r="Z204" s="22" t="str">
        <f t="shared" ca="1" si="67"/>
        <v/>
      </c>
      <c r="AA204" s="22" t="str">
        <f t="shared" ca="1" si="67"/>
        <v/>
      </c>
      <c r="AB204" s="22" t="str">
        <f t="shared" ca="1" si="67"/>
        <v/>
      </c>
      <c r="AC204" s="22" t="str">
        <f t="shared" ca="1" si="67"/>
        <v/>
      </c>
      <c r="AD204" s="22" t="str">
        <f t="shared" ca="1" si="66"/>
        <v/>
      </c>
      <c r="AE204" s="22" t="str">
        <f t="shared" ca="1" si="66"/>
        <v/>
      </c>
      <c r="AF204" s="22" t="str">
        <f t="shared" ca="1" si="66"/>
        <v/>
      </c>
      <c r="AG204" s="22" t="str">
        <f t="shared" ca="1" si="66"/>
        <v/>
      </c>
      <c r="AH204" s="23" t="str">
        <f t="shared" ca="1" si="66"/>
        <v/>
      </c>
      <c r="AJ204" s="12" t="e">
        <f t="shared" si="50"/>
        <v>#N/A</v>
      </c>
      <c r="AK204" s="51" t="e">
        <f t="shared" si="51"/>
        <v>#N/A</v>
      </c>
      <c r="AL204" s="16" t="e">
        <f t="shared" si="52"/>
        <v>#N/A</v>
      </c>
      <c r="AM204" s="16" t="e">
        <f t="shared" si="53"/>
        <v>#N/A</v>
      </c>
      <c r="AN204" s="10" t="e">
        <f t="shared" ca="1" si="54"/>
        <v>#N/A</v>
      </c>
      <c r="AO204" s="10" t="e">
        <f t="shared" ca="1" si="55"/>
        <v>#N/A</v>
      </c>
      <c r="AP204" s="10" t="e">
        <f t="shared" si="56"/>
        <v>#N/A</v>
      </c>
      <c r="AQ204" s="10" t="e">
        <f t="shared" si="57"/>
        <v>#N/A</v>
      </c>
      <c r="AR204" s="10" t="e">
        <f t="shared" si="57"/>
        <v>#N/A</v>
      </c>
      <c r="BC204" s="29"/>
    </row>
    <row r="205" spans="2:55" x14ac:dyDescent="0.25">
      <c r="B205" s="41"/>
      <c r="C205" s="40"/>
      <c r="D205" s="63"/>
      <c r="E205" s="39"/>
      <c r="F205" s="60"/>
      <c r="G205" s="42" t="str">
        <f t="shared" si="63"/>
        <v/>
      </c>
      <c r="H205" s="45">
        <f t="shared" ca="1" si="58"/>
        <v>51</v>
      </c>
      <c r="I205" s="36">
        <f t="shared" ca="1" si="59"/>
        <v>0</v>
      </c>
      <c r="J205" s="36">
        <f t="shared" ca="1" si="60"/>
        <v>0</v>
      </c>
      <c r="L205" s="1">
        <f t="shared" ca="1" si="61"/>
        <v>0</v>
      </c>
      <c r="N205" s="21" t="str">
        <f t="shared" ca="1" si="68"/>
        <v/>
      </c>
      <c r="O205" s="22" t="str">
        <f t="shared" ca="1" si="68"/>
        <v/>
      </c>
      <c r="P205" s="22" t="str">
        <f t="shared" ca="1" si="68"/>
        <v/>
      </c>
      <c r="Q205" s="22" t="str">
        <f t="shared" ca="1" si="68"/>
        <v/>
      </c>
      <c r="R205" s="22" t="str">
        <f t="shared" ca="1" si="68"/>
        <v/>
      </c>
      <c r="S205" s="22" t="str">
        <f t="shared" ca="1" si="68"/>
        <v/>
      </c>
      <c r="T205" s="22" t="str">
        <f t="shared" ca="1" si="68"/>
        <v/>
      </c>
      <c r="U205" s="22" t="str">
        <f t="shared" ca="1" si="68"/>
        <v/>
      </c>
      <c r="V205" s="22" t="str">
        <f t="shared" ca="1" si="68"/>
        <v/>
      </c>
      <c r="W205" s="23" t="str">
        <f t="shared" ca="1" si="68"/>
        <v/>
      </c>
      <c r="Y205" s="21" t="str">
        <f t="shared" ca="1" si="67"/>
        <v/>
      </c>
      <c r="Z205" s="22" t="str">
        <f t="shared" ca="1" si="67"/>
        <v/>
      </c>
      <c r="AA205" s="22" t="str">
        <f t="shared" ca="1" si="67"/>
        <v/>
      </c>
      <c r="AB205" s="22" t="str">
        <f t="shared" ca="1" si="67"/>
        <v/>
      </c>
      <c r="AC205" s="22" t="str">
        <f t="shared" ca="1" si="67"/>
        <v/>
      </c>
      <c r="AD205" s="22" t="str">
        <f t="shared" ca="1" si="66"/>
        <v/>
      </c>
      <c r="AE205" s="22" t="str">
        <f t="shared" ca="1" si="66"/>
        <v/>
      </c>
      <c r="AF205" s="22" t="str">
        <f t="shared" ca="1" si="66"/>
        <v/>
      </c>
      <c r="AG205" s="22" t="str">
        <f t="shared" ca="1" si="66"/>
        <v/>
      </c>
      <c r="AH205" s="23" t="str">
        <f t="shared" ca="1" si="66"/>
        <v/>
      </c>
      <c r="AJ205" s="12" t="e">
        <f t="shared" si="50"/>
        <v>#N/A</v>
      </c>
      <c r="AK205" s="51" t="e">
        <f t="shared" si="51"/>
        <v>#N/A</v>
      </c>
      <c r="AL205" s="16" t="e">
        <f t="shared" si="52"/>
        <v>#N/A</v>
      </c>
      <c r="AM205" s="16" t="e">
        <f t="shared" si="53"/>
        <v>#N/A</v>
      </c>
      <c r="AN205" s="10" t="e">
        <f t="shared" ca="1" si="54"/>
        <v>#N/A</v>
      </c>
      <c r="AO205" s="10" t="e">
        <f t="shared" ca="1" si="55"/>
        <v>#N/A</v>
      </c>
      <c r="AP205" s="10" t="e">
        <f t="shared" si="56"/>
        <v>#N/A</v>
      </c>
      <c r="AQ205" s="10" t="e">
        <f t="shared" si="57"/>
        <v>#N/A</v>
      </c>
      <c r="AR205" s="10" t="e">
        <f t="shared" si="57"/>
        <v>#N/A</v>
      </c>
      <c r="BC205" s="29"/>
    </row>
    <row r="206" spans="2:55" x14ac:dyDescent="0.25">
      <c r="B206" s="41"/>
      <c r="C206" s="40"/>
      <c r="D206" s="63"/>
      <c r="E206" s="39"/>
      <c r="F206" s="60"/>
      <c r="G206" s="42" t="str">
        <f t="shared" si="63"/>
        <v/>
      </c>
      <c r="H206" s="45">
        <f t="shared" ca="1" si="58"/>
        <v>51</v>
      </c>
      <c r="I206" s="36">
        <f t="shared" ca="1" si="59"/>
        <v>0</v>
      </c>
      <c r="J206" s="36">
        <f t="shared" ca="1" si="60"/>
        <v>0</v>
      </c>
      <c r="L206" s="1">
        <f t="shared" ca="1" si="61"/>
        <v>0</v>
      </c>
      <c r="N206" s="21" t="str">
        <f t="shared" ca="1" si="68"/>
        <v/>
      </c>
      <c r="O206" s="22" t="str">
        <f t="shared" ca="1" si="68"/>
        <v/>
      </c>
      <c r="P206" s="22" t="str">
        <f t="shared" ca="1" si="68"/>
        <v/>
      </c>
      <c r="Q206" s="22" t="str">
        <f t="shared" ca="1" si="68"/>
        <v/>
      </c>
      <c r="R206" s="22" t="str">
        <f t="shared" ca="1" si="68"/>
        <v/>
      </c>
      <c r="S206" s="22" t="str">
        <f t="shared" ca="1" si="68"/>
        <v/>
      </c>
      <c r="T206" s="22" t="str">
        <f t="shared" ca="1" si="68"/>
        <v/>
      </c>
      <c r="U206" s="22" t="str">
        <f t="shared" ca="1" si="68"/>
        <v/>
      </c>
      <c r="V206" s="22" t="str">
        <f t="shared" ca="1" si="68"/>
        <v/>
      </c>
      <c r="W206" s="23" t="str">
        <f t="shared" ca="1" si="68"/>
        <v/>
      </c>
      <c r="Y206" s="21" t="str">
        <f t="shared" ca="1" si="67"/>
        <v/>
      </c>
      <c r="Z206" s="22" t="str">
        <f t="shared" ca="1" si="67"/>
        <v/>
      </c>
      <c r="AA206" s="22" t="str">
        <f t="shared" ca="1" si="67"/>
        <v/>
      </c>
      <c r="AB206" s="22" t="str">
        <f t="shared" ca="1" si="67"/>
        <v/>
      </c>
      <c r="AC206" s="22" t="str">
        <f t="shared" ca="1" si="67"/>
        <v/>
      </c>
      <c r="AD206" s="22" t="str">
        <f t="shared" ca="1" si="66"/>
        <v/>
      </c>
      <c r="AE206" s="22" t="str">
        <f t="shared" ca="1" si="66"/>
        <v/>
      </c>
      <c r="AF206" s="22" t="str">
        <f t="shared" ca="1" si="66"/>
        <v/>
      </c>
      <c r="AG206" s="22" t="str">
        <f t="shared" ca="1" si="66"/>
        <v/>
      </c>
      <c r="AH206" s="23" t="str">
        <f t="shared" ca="1" si="66"/>
        <v/>
      </c>
      <c r="AJ206" s="12" t="e">
        <f t="shared" si="50"/>
        <v>#N/A</v>
      </c>
      <c r="AK206" s="51" t="e">
        <f t="shared" si="51"/>
        <v>#N/A</v>
      </c>
      <c r="AL206" s="16" t="e">
        <f t="shared" si="52"/>
        <v>#N/A</v>
      </c>
      <c r="AM206" s="16" t="e">
        <f t="shared" si="53"/>
        <v>#N/A</v>
      </c>
      <c r="AN206" s="10" t="e">
        <f t="shared" ca="1" si="54"/>
        <v>#N/A</v>
      </c>
      <c r="AO206" s="10" t="e">
        <f t="shared" ca="1" si="55"/>
        <v>#N/A</v>
      </c>
      <c r="AP206" s="10" t="e">
        <f t="shared" si="56"/>
        <v>#N/A</v>
      </c>
      <c r="AQ206" s="10" t="e">
        <f t="shared" si="57"/>
        <v>#N/A</v>
      </c>
      <c r="AR206" s="10" t="e">
        <f t="shared" si="57"/>
        <v>#N/A</v>
      </c>
      <c r="BC206" s="29"/>
    </row>
    <row r="207" spans="2:55" x14ac:dyDescent="0.25">
      <c r="B207" s="41"/>
      <c r="C207" s="40"/>
      <c r="D207" s="63"/>
      <c r="E207" s="39"/>
      <c r="F207" s="60"/>
      <c r="G207" s="42" t="str">
        <f t="shared" si="63"/>
        <v/>
      </c>
      <c r="H207" s="45">
        <f t="shared" ca="1" si="58"/>
        <v>51</v>
      </c>
      <c r="I207" s="36">
        <f t="shared" ca="1" si="59"/>
        <v>0</v>
      </c>
      <c r="J207" s="36">
        <f t="shared" ca="1" si="60"/>
        <v>0</v>
      </c>
      <c r="L207" s="1">
        <f t="shared" ca="1" si="61"/>
        <v>0</v>
      </c>
      <c r="N207" s="21" t="str">
        <f t="shared" ca="1" si="68"/>
        <v/>
      </c>
      <c r="O207" s="22" t="str">
        <f t="shared" ca="1" si="68"/>
        <v/>
      </c>
      <c r="P207" s="22" t="str">
        <f t="shared" ca="1" si="68"/>
        <v/>
      </c>
      <c r="Q207" s="22" t="str">
        <f t="shared" ca="1" si="68"/>
        <v/>
      </c>
      <c r="R207" s="22" t="str">
        <f t="shared" ca="1" si="68"/>
        <v/>
      </c>
      <c r="S207" s="22" t="str">
        <f t="shared" ca="1" si="68"/>
        <v/>
      </c>
      <c r="T207" s="22" t="str">
        <f t="shared" ca="1" si="68"/>
        <v/>
      </c>
      <c r="U207" s="22" t="str">
        <f t="shared" ca="1" si="68"/>
        <v/>
      </c>
      <c r="V207" s="22" t="str">
        <f t="shared" ca="1" si="68"/>
        <v/>
      </c>
      <c r="W207" s="23" t="str">
        <f t="shared" ca="1" si="68"/>
        <v/>
      </c>
      <c r="Y207" s="21" t="str">
        <f t="shared" ca="1" si="67"/>
        <v/>
      </c>
      <c r="Z207" s="22" t="str">
        <f t="shared" ca="1" si="67"/>
        <v/>
      </c>
      <c r="AA207" s="22" t="str">
        <f t="shared" ca="1" si="67"/>
        <v/>
      </c>
      <c r="AB207" s="22" t="str">
        <f t="shared" ca="1" si="67"/>
        <v/>
      </c>
      <c r="AC207" s="22" t="str">
        <f t="shared" ca="1" si="67"/>
        <v/>
      </c>
      <c r="AD207" s="22" t="str">
        <f t="shared" ca="1" si="66"/>
        <v/>
      </c>
      <c r="AE207" s="22" t="str">
        <f t="shared" ca="1" si="66"/>
        <v/>
      </c>
      <c r="AF207" s="22" t="str">
        <f t="shared" ca="1" si="66"/>
        <v/>
      </c>
      <c r="AG207" s="22" t="str">
        <f t="shared" ca="1" si="66"/>
        <v/>
      </c>
      <c r="AH207" s="23" t="str">
        <f t="shared" ca="1" si="66"/>
        <v/>
      </c>
      <c r="AJ207" s="12" t="e">
        <f t="shared" si="50"/>
        <v>#N/A</v>
      </c>
      <c r="AK207" s="51" t="e">
        <f t="shared" si="51"/>
        <v>#N/A</v>
      </c>
      <c r="AL207" s="16" t="e">
        <f t="shared" si="52"/>
        <v>#N/A</v>
      </c>
      <c r="AM207" s="16" t="e">
        <f t="shared" si="53"/>
        <v>#N/A</v>
      </c>
      <c r="AN207" s="10" t="e">
        <f t="shared" ca="1" si="54"/>
        <v>#N/A</v>
      </c>
      <c r="AO207" s="10" t="e">
        <f t="shared" ca="1" si="55"/>
        <v>#N/A</v>
      </c>
      <c r="AP207" s="10" t="e">
        <f t="shared" si="56"/>
        <v>#N/A</v>
      </c>
      <c r="AQ207" s="10" t="e">
        <f t="shared" si="57"/>
        <v>#N/A</v>
      </c>
      <c r="AR207" s="10" t="e">
        <f t="shared" si="57"/>
        <v>#N/A</v>
      </c>
      <c r="BC207" s="29"/>
    </row>
    <row r="208" spans="2:55" x14ac:dyDescent="0.25">
      <c r="B208" s="41"/>
      <c r="C208" s="40"/>
      <c r="D208" s="63"/>
      <c r="E208" s="39"/>
      <c r="F208" s="60"/>
      <c r="G208" s="42" t="str">
        <f t="shared" si="63"/>
        <v/>
      </c>
      <c r="H208" s="45">
        <f t="shared" ca="1" si="58"/>
        <v>51</v>
      </c>
      <c r="I208" s="36">
        <f t="shared" ca="1" si="59"/>
        <v>0</v>
      </c>
      <c r="J208" s="36">
        <f t="shared" ca="1" si="60"/>
        <v>0</v>
      </c>
      <c r="L208" s="1">
        <f t="shared" ca="1" si="61"/>
        <v>0</v>
      </c>
      <c r="N208" s="21" t="str">
        <f t="shared" ca="1" si="68"/>
        <v/>
      </c>
      <c r="O208" s="22" t="str">
        <f t="shared" ca="1" si="68"/>
        <v/>
      </c>
      <c r="P208" s="22" t="str">
        <f t="shared" ca="1" si="68"/>
        <v/>
      </c>
      <c r="Q208" s="22" t="str">
        <f t="shared" ca="1" si="68"/>
        <v/>
      </c>
      <c r="R208" s="22" t="str">
        <f t="shared" ca="1" si="68"/>
        <v/>
      </c>
      <c r="S208" s="22" t="str">
        <f t="shared" ca="1" si="68"/>
        <v/>
      </c>
      <c r="T208" s="22" t="str">
        <f t="shared" ca="1" si="68"/>
        <v/>
      </c>
      <c r="U208" s="22" t="str">
        <f t="shared" ca="1" si="68"/>
        <v/>
      </c>
      <c r="V208" s="22" t="str">
        <f t="shared" ca="1" si="68"/>
        <v/>
      </c>
      <c r="W208" s="23" t="str">
        <f t="shared" ca="1" si="68"/>
        <v/>
      </c>
      <c r="Y208" s="21" t="str">
        <f t="shared" ca="1" si="67"/>
        <v/>
      </c>
      <c r="Z208" s="22" t="str">
        <f t="shared" ca="1" si="67"/>
        <v/>
      </c>
      <c r="AA208" s="22" t="str">
        <f t="shared" ca="1" si="67"/>
        <v/>
      </c>
      <c r="AB208" s="22" t="str">
        <f t="shared" ca="1" si="67"/>
        <v/>
      </c>
      <c r="AC208" s="22" t="str">
        <f t="shared" ca="1" si="67"/>
        <v/>
      </c>
      <c r="AD208" s="22" t="str">
        <f t="shared" ca="1" si="66"/>
        <v/>
      </c>
      <c r="AE208" s="22" t="str">
        <f t="shared" ca="1" si="66"/>
        <v/>
      </c>
      <c r="AF208" s="22" t="str">
        <f t="shared" ca="1" si="66"/>
        <v/>
      </c>
      <c r="AG208" s="22" t="str">
        <f t="shared" ca="1" si="66"/>
        <v/>
      </c>
      <c r="AH208" s="23" t="str">
        <f t="shared" ca="1" si="66"/>
        <v/>
      </c>
      <c r="AJ208" s="12" t="e">
        <f t="shared" si="50"/>
        <v>#N/A</v>
      </c>
      <c r="AK208" s="51" t="e">
        <f t="shared" si="51"/>
        <v>#N/A</v>
      </c>
      <c r="AL208" s="16" t="e">
        <f t="shared" si="52"/>
        <v>#N/A</v>
      </c>
      <c r="AM208" s="16" t="e">
        <f t="shared" si="53"/>
        <v>#N/A</v>
      </c>
      <c r="AN208" s="10" t="e">
        <f t="shared" ca="1" si="54"/>
        <v>#N/A</v>
      </c>
      <c r="AO208" s="10" t="e">
        <f t="shared" ca="1" si="55"/>
        <v>#N/A</v>
      </c>
      <c r="AP208" s="10" t="e">
        <f t="shared" si="56"/>
        <v>#N/A</v>
      </c>
      <c r="AQ208" s="10" t="e">
        <f t="shared" si="57"/>
        <v>#N/A</v>
      </c>
      <c r="AR208" s="10" t="e">
        <f t="shared" si="57"/>
        <v>#N/A</v>
      </c>
      <c r="BC208" s="29"/>
    </row>
    <row r="209" spans="2:55" x14ac:dyDescent="0.25">
      <c r="B209" s="41"/>
      <c r="C209" s="40"/>
      <c r="D209" s="63"/>
      <c r="E209" s="39"/>
      <c r="F209" s="60"/>
      <c r="G209" s="42" t="str">
        <f t="shared" si="63"/>
        <v/>
      </c>
      <c r="H209" s="45">
        <f t="shared" ca="1" si="58"/>
        <v>51</v>
      </c>
      <c r="I209" s="36">
        <f t="shared" ca="1" si="59"/>
        <v>0</v>
      </c>
      <c r="J209" s="36">
        <f t="shared" ca="1" si="60"/>
        <v>0</v>
      </c>
      <c r="L209" s="1">
        <f t="shared" ca="1" si="61"/>
        <v>0</v>
      </c>
      <c r="N209" s="21" t="str">
        <f t="shared" ca="1" si="68"/>
        <v/>
      </c>
      <c r="O209" s="22" t="str">
        <f t="shared" ca="1" si="68"/>
        <v/>
      </c>
      <c r="P209" s="22" t="str">
        <f t="shared" ca="1" si="68"/>
        <v/>
      </c>
      <c r="Q209" s="22" t="str">
        <f t="shared" ca="1" si="68"/>
        <v/>
      </c>
      <c r="R209" s="22" t="str">
        <f t="shared" ca="1" si="68"/>
        <v/>
      </c>
      <c r="S209" s="22" t="str">
        <f t="shared" ca="1" si="68"/>
        <v/>
      </c>
      <c r="T209" s="22" t="str">
        <f t="shared" ca="1" si="68"/>
        <v/>
      </c>
      <c r="U209" s="22" t="str">
        <f t="shared" ca="1" si="68"/>
        <v/>
      </c>
      <c r="V209" s="22" t="str">
        <f t="shared" ca="1" si="68"/>
        <v/>
      </c>
      <c r="W209" s="23" t="str">
        <f t="shared" ca="1" si="68"/>
        <v/>
      </c>
      <c r="Y209" s="21" t="str">
        <f t="shared" ca="1" si="67"/>
        <v/>
      </c>
      <c r="Z209" s="22" t="str">
        <f t="shared" ca="1" si="67"/>
        <v/>
      </c>
      <c r="AA209" s="22" t="str">
        <f t="shared" ca="1" si="67"/>
        <v/>
      </c>
      <c r="AB209" s="22" t="str">
        <f t="shared" ca="1" si="67"/>
        <v/>
      </c>
      <c r="AC209" s="22" t="str">
        <f t="shared" ca="1" si="67"/>
        <v/>
      </c>
      <c r="AD209" s="22" t="str">
        <f t="shared" ca="1" si="66"/>
        <v/>
      </c>
      <c r="AE209" s="22" t="str">
        <f t="shared" ca="1" si="66"/>
        <v/>
      </c>
      <c r="AF209" s="22" t="str">
        <f t="shared" ca="1" si="66"/>
        <v/>
      </c>
      <c r="AG209" s="22" t="str">
        <f t="shared" ca="1" si="66"/>
        <v/>
      </c>
      <c r="AH209" s="23" t="str">
        <f t="shared" ca="1" si="66"/>
        <v/>
      </c>
      <c r="AJ209" s="12" t="e">
        <f t="shared" si="50"/>
        <v>#N/A</v>
      </c>
      <c r="AK209" s="51" t="e">
        <f t="shared" si="51"/>
        <v>#N/A</v>
      </c>
      <c r="AL209" s="16" t="e">
        <f t="shared" si="52"/>
        <v>#N/A</v>
      </c>
      <c r="AM209" s="16" t="e">
        <f t="shared" si="53"/>
        <v>#N/A</v>
      </c>
      <c r="AN209" s="10" t="e">
        <f t="shared" ca="1" si="54"/>
        <v>#N/A</v>
      </c>
      <c r="AO209" s="10" t="e">
        <f t="shared" ca="1" si="55"/>
        <v>#N/A</v>
      </c>
      <c r="AP209" s="10" t="e">
        <f t="shared" si="56"/>
        <v>#N/A</v>
      </c>
      <c r="AQ209" s="10" t="e">
        <f t="shared" si="57"/>
        <v>#N/A</v>
      </c>
      <c r="AR209" s="10" t="e">
        <f t="shared" si="57"/>
        <v>#N/A</v>
      </c>
      <c r="BC209" s="29"/>
    </row>
    <row r="210" spans="2:55" x14ac:dyDescent="0.25">
      <c r="B210" s="41"/>
      <c r="C210" s="40"/>
      <c r="D210" s="63"/>
      <c r="E210" s="39"/>
      <c r="F210" s="60"/>
      <c r="G210" s="42" t="str">
        <f t="shared" si="63"/>
        <v/>
      </c>
      <c r="H210" s="45">
        <f t="shared" ca="1" si="58"/>
        <v>51</v>
      </c>
      <c r="I210" s="36">
        <f t="shared" ca="1" si="59"/>
        <v>0</v>
      </c>
      <c r="J210" s="36">
        <f t="shared" ca="1" si="60"/>
        <v>0</v>
      </c>
      <c r="L210" s="1">
        <f t="shared" ca="1" si="61"/>
        <v>0</v>
      </c>
      <c r="N210" s="21" t="str">
        <f t="shared" ca="1" si="68"/>
        <v/>
      </c>
      <c r="O210" s="22" t="str">
        <f t="shared" ca="1" si="68"/>
        <v/>
      </c>
      <c r="P210" s="22" t="str">
        <f t="shared" ca="1" si="68"/>
        <v/>
      </c>
      <c r="Q210" s="22" t="str">
        <f t="shared" ca="1" si="68"/>
        <v/>
      </c>
      <c r="R210" s="22" t="str">
        <f t="shared" ca="1" si="68"/>
        <v/>
      </c>
      <c r="S210" s="22" t="str">
        <f t="shared" ca="1" si="68"/>
        <v/>
      </c>
      <c r="T210" s="22" t="str">
        <f t="shared" ca="1" si="68"/>
        <v/>
      </c>
      <c r="U210" s="22" t="str">
        <f t="shared" ca="1" si="68"/>
        <v/>
      </c>
      <c r="V210" s="22" t="str">
        <f t="shared" ca="1" si="68"/>
        <v/>
      </c>
      <c r="W210" s="23" t="str">
        <f t="shared" ca="1" si="68"/>
        <v/>
      </c>
      <c r="Y210" s="21" t="str">
        <f t="shared" ca="1" si="67"/>
        <v/>
      </c>
      <c r="Z210" s="22" t="str">
        <f t="shared" ca="1" si="67"/>
        <v/>
      </c>
      <c r="AA210" s="22" t="str">
        <f t="shared" ca="1" si="67"/>
        <v/>
      </c>
      <c r="AB210" s="22" t="str">
        <f t="shared" ca="1" si="67"/>
        <v/>
      </c>
      <c r="AC210" s="22" t="str">
        <f t="shared" ca="1" si="67"/>
        <v/>
      </c>
      <c r="AD210" s="22" t="str">
        <f t="shared" ca="1" si="66"/>
        <v/>
      </c>
      <c r="AE210" s="22" t="str">
        <f t="shared" ca="1" si="66"/>
        <v/>
      </c>
      <c r="AF210" s="22" t="str">
        <f t="shared" ca="1" si="66"/>
        <v/>
      </c>
      <c r="AG210" s="22" t="str">
        <f t="shared" ca="1" si="66"/>
        <v/>
      </c>
      <c r="AH210" s="23" t="str">
        <f t="shared" ca="1" si="66"/>
        <v/>
      </c>
      <c r="AJ210" s="12" t="e">
        <f t="shared" si="50"/>
        <v>#N/A</v>
      </c>
      <c r="AK210" s="51" t="e">
        <f t="shared" si="51"/>
        <v>#N/A</v>
      </c>
      <c r="AL210" s="16" t="e">
        <f t="shared" si="52"/>
        <v>#N/A</v>
      </c>
      <c r="AM210" s="16" t="e">
        <f t="shared" si="53"/>
        <v>#N/A</v>
      </c>
      <c r="AN210" s="10" t="e">
        <f t="shared" ca="1" si="54"/>
        <v>#N/A</v>
      </c>
      <c r="AO210" s="10" t="e">
        <f t="shared" ca="1" si="55"/>
        <v>#N/A</v>
      </c>
      <c r="AP210" s="10" t="e">
        <f t="shared" si="56"/>
        <v>#N/A</v>
      </c>
      <c r="AQ210" s="10" t="e">
        <f t="shared" si="57"/>
        <v>#N/A</v>
      </c>
      <c r="AR210" s="10" t="e">
        <f t="shared" si="57"/>
        <v>#N/A</v>
      </c>
      <c r="BC210" s="29"/>
    </row>
    <row r="211" spans="2:55" x14ac:dyDescent="0.25">
      <c r="B211" s="41"/>
      <c r="C211" s="40"/>
      <c r="D211" s="63"/>
      <c r="E211" s="39"/>
      <c r="F211" s="60"/>
      <c r="G211" s="42" t="str">
        <f t="shared" si="63"/>
        <v/>
      </c>
      <c r="H211" s="45">
        <f t="shared" ca="1" si="58"/>
        <v>51</v>
      </c>
      <c r="I211" s="36">
        <f t="shared" ca="1" si="59"/>
        <v>0</v>
      </c>
      <c r="J211" s="36">
        <f t="shared" ca="1" si="60"/>
        <v>0</v>
      </c>
      <c r="L211" s="1">
        <f t="shared" ca="1" si="61"/>
        <v>0</v>
      </c>
      <c r="N211" s="21" t="str">
        <f t="shared" ca="1" si="68"/>
        <v/>
      </c>
      <c r="O211" s="22" t="str">
        <f t="shared" ca="1" si="68"/>
        <v/>
      </c>
      <c r="P211" s="22" t="str">
        <f t="shared" ca="1" si="68"/>
        <v/>
      </c>
      <c r="Q211" s="22" t="str">
        <f t="shared" ca="1" si="68"/>
        <v/>
      </c>
      <c r="R211" s="22" t="str">
        <f t="shared" ca="1" si="68"/>
        <v/>
      </c>
      <c r="S211" s="22" t="str">
        <f t="shared" ca="1" si="68"/>
        <v/>
      </c>
      <c r="T211" s="22" t="str">
        <f t="shared" ca="1" si="68"/>
        <v/>
      </c>
      <c r="U211" s="22" t="str">
        <f t="shared" ca="1" si="68"/>
        <v/>
      </c>
      <c r="V211" s="22" t="str">
        <f t="shared" ca="1" si="68"/>
        <v/>
      </c>
      <c r="W211" s="23" t="str">
        <f t="shared" ca="1" si="68"/>
        <v/>
      </c>
      <c r="Y211" s="21" t="str">
        <f t="shared" ca="1" si="67"/>
        <v/>
      </c>
      <c r="Z211" s="22" t="str">
        <f t="shared" ca="1" si="67"/>
        <v/>
      </c>
      <c r="AA211" s="22" t="str">
        <f t="shared" ca="1" si="67"/>
        <v/>
      </c>
      <c r="AB211" s="22" t="str">
        <f t="shared" ca="1" si="67"/>
        <v/>
      </c>
      <c r="AC211" s="22" t="str">
        <f t="shared" ca="1" si="67"/>
        <v/>
      </c>
      <c r="AD211" s="22" t="str">
        <f t="shared" ca="1" si="66"/>
        <v/>
      </c>
      <c r="AE211" s="22" t="str">
        <f t="shared" ca="1" si="66"/>
        <v/>
      </c>
      <c r="AF211" s="22" t="str">
        <f t="shared" ca="1" si="66"/>
        <v/>
      </c>
      <c r="AG211" s="22" t="str">
        <f t="shared" ca="1" si="66"/>
        <v/>
      </c>
      <c r="AH211" s="23" t="str">
        <f t="shared" ca="1" si="66"/>
        <v/>
      </c>
      <c r="AJ211" s="12" t="e">
        <f t="shared" si="50"/>
        <v>#N/A</v>
      </c>
      <c r="AK211" s="51" t="e">
        <f t="shared" si="51"/>
        <v>#N/A</v>
      </c>
      <c r="AL211" s="16" t="e">
        <f t="shared" si="52"/>
        <v>#N/A</v>
      </c>
      <c r="AM211" s="16" t="e">
        <f t="shared" si="53"/>
        <v>#N/A</v>
      </c>
      <c r="AN211" s="10" t="e">
        <f t="shared" ca="1" si="54"/>
        <v>#N/A</v>
      </c>
      <c r="AO211" s="10" t="e">
        <f t="shared" ca="1" si="55"/>
        <v>#N/A</v>
      </c>
      <c r="AP211" s="10" t="e">
        <f t="shared" si="56"/>
        <v>#N/A</v>
      </c>
      <c r="AQ211" s="10" t="e">
        <f t="shared" si="57"/>
        <v>#N/A</v>
      </c>
      <c r="AR211" s="10" t="e">
        <f t="shared" si="57"/>
        <v>#N/A</v>
      </c>
      <c r="BC211" s="29"/>
    </row>
    <row r="212" spans="2:55" x14ac:dyDescent="0.25">
      <c r="B212" s="41"/>
      <c r="C212" s="40"/>
      <c r="D212" s="63"/>
      <c r="E212" s="39"/>
      <c r="F212" s="60"/>
      <c r="G212" s="42" t="str">
        <f t="shared" si="63"/>
        <v/>
      </c>
      <c r="H212" s="45">
        <f t="shared" ca="1" si="58"/>
        <v>51</v>
      </c>
      <c r="I212" s="36">
        <f t="shared" ca="1" si="59"/>
        <v>0</v>
      </c>
      <c r="J212" s="36">
        <f t="shared" ca="1" si="60"/>
        <v>0</v>
      </c>
      <c r="L212" s="1">
        <f t="shared" ca="1" si="61"/>
        <v>0</v>
      </c>
      <c r="N212" s="21" t="str">
        <f t="shared" ca="1" si="68"/>
        <v/>
      </c>
      <c r="O212" s="22" t="str">
        <f t="shared" ca="1" si="68"/>
        <v/>
      </c>
      <c r="P212" s="22" t="str">
        <f t="shared" ca="1" si="68"/>
        <v/>
      </c>
      <c r="Q212" s="22" t="str">
        <f t="shared" ca="1" si="68"/>
        <v/>
      </c>
      <c r="R212" s="22" t="str">
        <f t="shared" ca="1" si="68"/>
        <v/>
      </c>
      <c r="S212" s="22" t="str">
        <f t="shared" ca="1" si="68"/>
        <v/>
      </c>
      <c r="T212" s="22" t="str">
        <f t="shared" ca="1" si="68"/>
        <v/>
      </c>
      <c r="U212" s="22" t="str">
        <f t="shared" ca="1" si="68"/>
        <v/>
      </c>
      <c r="V212" s="22" t="str">
        <f t="shared" ca="1" si="68"/>
        <v/>
      </c>
      <c r="W212" s="23" t="str">
        <f t="shared" ca="1" si="68"/>
        <v/>
      </c>
      <c r="Y212" s="21" t="str">
        <f t="shared" ca="1" si="67"/>
        <v/>
      </c>
      <c r="Z212" s="22" t="str">
        <f t="shared" ca="1" si="67"/>
        <v/>
      </c>
      <c r="AA212" s="22" t="str">
        <f t="shared" ca="1" si="67"/>
        <v/>
      </c>
      <c r="AB212" s="22" t="str">
        <f t="shared" ca="1" si="67"/>
        <v/>
      </c>
      <c r="AC212" s="22" t="str">
        <f t="shared" ca="1" si="67"/>
        <v/>
      </c>
      <c r="AD212" s="22" t="str">
        <f t="shared" ca="1" si="66"/>
        <v/>
      </c>
      <c r="AE212" s="22" t="str">
        <f t="shared" ca="1" si="66"/>
        <v/>
      </c>
      <c r="AF212" s="22" t="str">
        <f t="shared" ca="1" si="66"/>
        <v/>
      </c>
      <c r="AG212" s="22" t="str">
        <f t="shared" ca="1" si="66"/>
        <v/>
      </c>
      <c r="AH212" s="23" t="str">
        <f t="shared" ca="1" si="66"/>
        <v/>
      </c>
      <c r="AJ212" s="12" t="e">
        <f t="shared" si="50"/>
        <v>#N/A</v>
      </c>
      <c r="AK212" s="51" t="e">
        <f t="shared" si="51"/>
        <v>#N/A</v>
      </c>
      <c r="AL212" s="16" t="e">
        <f t="shared" si="52"/>
        <v>#N/A</v>
      </c>
      <c r="AM212" s="16" t="e">
        <f t="shared" si="53"/>
        <v>#N/A</v>
      </c>
      <c r="AN212" s="10" t="e">
        <f t="shared" ca="1" si="54"/>
        <v>#N/A</v>
      </c>
      <c r="AO212" s="10" t="e">
        <f t="shared" ca="1" si="55"/>
        <v>#N/A</v>
      </c>
      <c r="AP212" s="10" t="e">
        <f t="shared" si="56"/>
        <v>#N/A</v>
      </c>
      <c r="AQ212" s="10" t="e">
        <f t="shared" si="57"/>
        <v>#N/A</v>
      </c>
      <c r="AR212" s="10" t="e">
        <f t="shared" si="57"/>
        <v>#N/A</v>
      </c>
      <c r="BC212" s="29"/>
    </row>
    <row r="213" spans="2:55" x14ac:dyDescent="0.25">
      <c r="B213" s="41"/>
      <c r="C213" s="40"/>
      <c r="D213" s="63"/>
      <c r="E213" s="39"/>
      <c r="F213" s="60"/>
      <c r="G213" s="42" t="str">
        <f t="shared" si="63"/>
        <v/>
      </c>
      <c r="H213" s="45">
        <f t="shared" ca="1" si="58"/>
        <v>51</v>
      </c>
      <c r="I213" s="36">
        <f t="shared" ca="1" si="59"/>
        <v>0</v>
      </c>
      <c r="J213" s="36">
        <f t="shared" ca="1" si="60"/>
        <v>0</v>
      </c>
      <c r="L213" s="1">
        <f t="shared" ca="1" si="61"/>
        <v>0</v>
      </c>
      <c r="N213" s="21" t="str">
        <f t="shared" ca="1" si="68"/>
        <v/>
      </c>
      <c r="O213" s="22" t="str">
        <f t="shared" ca="1" si="68"/>
        <v/>
      </c>
      <c r="P213" s="22" t="str">
        <f t="shared" ca="1" si="68"/>
        <v/>
      </c>
      <c r="Q213" s="22" t="str">
        <f t="shared" ca="1" si="68"/>
        <v/>
      </c>
      <c r="R213" s="22" t="str">
        <f t="shared" ca="1" si="68"/>
        <v/>
      </c>
      <c r="S213" s="22" t="str">
        <f t="shared" ca="1" si="68"/>
        <v/>
      </c>
      <c r="T213" s="22" t="str">
        <f t="shared" ca="1" si="68"/>
        <v/>
      </c>
      <c r="U213" s="22" t="str">
        <f t="shared" ca="1" si="68"/>
        <v/>
      </c>
      <c r="V213" s="22" t="str">
        <f t="shared" ca="1" si="68"/>
        <v/>
      </c>
      <c r="W213" s="23" t="str">
        <f t="shared" ca="1" si="68"/>
        <v/>
      </c>
      <c r="Y213" s="21" t="str">
        <f t="shared" ca="1" si="67"/>
        <v/>
      </c>
      <c r="Z213" s="22" t="str">
        <f t="shared" ca="1" si="67"/>
        <v/>
      </c>
      <c r="AA213" s="22" t="str">
        <f t="shared" ca="1" si="67"/>
        <v/>
      </c>
      <c r="AB213" s="22" t="str">
        <f t="shared" ca="1" si="67"/>
        <v/>
      </c>
      <c r="AC213" s="22" t="str">
        <f t="shared" ca="1" si="67"/>
        <v/>
      </c>
      <c r="AD213" s="22" t="str">
        <f t="shared" ca="1" si="66"/>
        <v/>
      </c>
      <c r="AE213" s="22" t="str">
        <f t="shared" ca="1" si="66"/>
        <v/>
      </c>
      <c r="AF213" s="22" t="str">
        <f t="shared" ca="1" si="66"/>
        <v/>
      </c>
      <c r="AG213" s="22" t="str">
        <f t="shared" ca="1" si="66"/>
        <v/>
      </c>
      <c r="AH213" s="23" t="str">
        <f t="shared" ca="1" si="66"/>
        <v/>
      </c>
      <c r="AJ213" s="12" t="e">
        <f t="shared" si="50"/>
        <v>#N/A</v>
      </c>
      <c r="AK213" s="51" t="e">
        <f t="shared" si="51"/>
        <v>#N/A</v>
      </c>
      <c r="AL213" s="16" t="e">
        <f t="shared" si="52"/>
        <v>#N/A</v>
      </c>
      <c r="AM213" s="16" t="e">
        <f t="shared" si="53"/>
        <v>#N/A</v>
      </c>
      <c r="AN213" s="10" t="e">
        <f t="shared" ca="1" si="54"/>
        <v>#N/A</v>
      </c>
      <c r="AO213" s="10" t="e">
        <f t="shared" ca="1" si="55"/>
        <v>#N/A</v>
      </c>
      <c r="AP213" s="10" t="e">
        <f t="shared" si="56"/>
        <v>#N/A</v>
      </c>
      <c r="AQ213" s="10" t="e">
        <f t="shared" si="57"/>
        <v>#N/A</v>
      </c>
      <c r="AR213" s="10" t="e">
        <f t="shared" si="57"/>
        <v>#N/A</v>
      </c>
      <c r="BC213" s="29"/>
    </row>
    <row r="214" spans="2:55" x14ac:dyDescent="0.25">
      <c r="B214" s="41"/>
      <c r="C214" s="40"/>
      <c r="D214" s="63"/>
      <c r="E214" s="39"/>
      <c r="F214" s="60"/>
      <c r="G214" s="42" t="str">
        <f t="shared" si="63"/>
        <v/>
      </c>
      <c r="H214" s="45">
        <f t="shared" ca="1" si="58"/>
        <v>51</v>
      </c>
      <c r="I214" s="36">
        <f t="shared" ca="1" si="59"/>
        <v>0</v>
      </c>
      <c r="J214" s="36">
        <f t="shared" ca="1" si="60"/>
        <v>0</v>
      </c>
      <c r="L214" s="1">
        <f t="shared" ca="1" si="61"/>
        <v>0</v>
      </c>
      <c r="N214" s="21" t="str">
        <f t="shared" ca="1" si="68"/>
        <v/>
      </c>
      <c r="O214" s="22" t="str">
        <f t="shared" ca="1" si="68"/>
        <v/>
      </c>
      <c r="P214" s="22" t="str">
        <f t="shared" ca="1" si="68"/>
        <v/>
      </c>
      <c r="Q214" s="22" t="str">
        <f t="shared" ca="1" si="68"/>
        <v/>
      </c>
      <c r="R214" s="22" t="str">
        <f t="shared" ca="1" si="68"/>
        <v/>
      </c>
      <c r="S214" s="22" t="str">
        <f t="shared" ca="1" si="68"/>
        <v/>
      </c>
      <c r="T214" s="22" t="str">
        <f t="shared" ca="1" si="68"/>
        <v/>
      </c>
      <c r="U214" s="22" t="str">
        <f t="shared" ca="1" si="68"/>
        <v/>
      </c>
      <c r="V214" s="22" t="str">
        <f t="shared" ca="1" si="68"/>
        <v/>
      </c>
      <c r="W214" s="23" t="str">
        <f t="shared" ca="1" si="68"/>
        <v/>
      </c>
      <c r="Y214" s="21" t="str">
        <f t="shared" ca="1" si="67"/>
        <v/>
      </c>
      <c r="Z214" s="22" t="str">
        <f t="shared" ca="1" si="67"/>
        <v/>
      </c>
      <c r="AA214" s="22" t="str">
        <f t="shared" ca="1" si="67"/>
        <v/>
      </c>
      <c r="AB214" s="22" t="str">
        <f t="shared" ca="1" si="67"/>
        <v/>
      </c>
      <c r="AC214" s="22" t="str">
        <f t="shared" ca="1" si="67"/>
        <v/>
      </c>
      <c r="AD214" s="22" t="str">
        <f t="shared" ca="1" si="66"/>
        <v/>
      </c>
      <c r="AE214" s="22" t="str">
        <f t="shared" ca="1" si="66"/>
        <v/>
      </c>
      <c r="AF214" s="22" t="str">
        <f t="shared" ca="1" si="66"/>
        <v/>
      </c>
      <c r="AG214" s="22" t="str">
        <f t="shared" ca="1" si="66"/>
        <v/>
      </c>
      <c r="AH214" s="23" t="str">
        <f t="shared" ca="1" si="66"/>
        <v/>
      </c>
      <c r="AJ214" s="12" t="e">
        <f t="shared" si="50"/>
        <v>#N/A</v>
      </c>
      <c r="AK214" s="51" t="e">
        <f t="shared" si="51"/>
        <v>#N/A</v>
      </c>
      <c r="AL214" s="16" t="e">
        <f t="shared" si="52"/>
        <v>#N/A</v>
      </c>
      <c r="AM214" s="16" t="e">
        <f t="shared" si="53"/>
        <v>#N/A</v>
      </c>
      <c r="AN214" s="10" t="e">
        <f t="shared" ca="1" si="54"/>
        <v>#N/A</v>
      </c>
      <c r="AO214" s="10" t="e">
        <f t="shared" ca="1" si="55"/>
        <v>#N/A</v>
      </c>
      <c r="AP214" s="10" t="e">
        <f t="shared" si="56"/>
        <v>#N/A</v>
      </c>
      <c r="AQ214" s="10" t="e">
        <f t="shared" si="57"/>
        <v>#N/A</v>
      </c>
      <c r="AR214" s="10" t="e">
        <f t="shared" si="57"/>
        <v>#N/A</v>
      </c>
      <c r="BC214" s="29"/>
    </row>
    <row r="215" spans="2:55" x14ac:dyDescent="0.25">
      <c r="B215" s="41"/>
      <c r="C215" s="40"/>
      <c r="D215" s="63"/>
      <c r="E215" s="39"/>
      <c r="F215" s="60"/>
      <c r="G215" s="42" t="str">
        <f t="shared" si="63"/>
        <v/>
      </c>
      <c r="H215" s="45">
        <f t="shared" ca="1" si="58"/>
        <v>51</v>
      </c>
      <c r="I215" s="36">
        <f t="shared" ca="1" si="59"/>
        <v>0</v>
      </c>
      <c r="J215" s="36">
        <f t="shared" ca="1" si="60"/>
        <v>0</v>
      </c>
      <c r="L215" s="1">
        <f t="shared" ca="1" si="61"/>
        <v>0</v>
      </c>
      <c r="N215" s="21" t="str">
        <f t="shared" ca="1" si="68"/>
        <v/>
      </c>
      <c r="O215" s="22" t="str">
        <f t="shared" ca="1" si="68"/>
        <v/>
      </c>
      <c r="P215" s="22" t="str">
        <f t="shared" ca="1" si="68"/>
        <v/>
      </c>
      <c r="Q215" s="22" t="str">
        <f t="shared" ca="1" si="68"/>
        <v/>
      </c>
      <c r="R215" s="22" t="str">
        <f t="shared" ca="1" si="68"/>
        <v/>
      </c>
      <c r="S215" s="22" t="str">
        <f t="shared" ca="1" si="68"/>
        <v/>
      </c>
      <c r="T215" s="22" t="str">
        <f t="shared" ca="1" si="68"/>
        <v/>
      </c>
      <c r="U215" s="22" t="str">
        <f t="shared" ca="1" si="68"/>
        <v/>
      </c>
      <c r="V215" s="22" t="str">
        <f t="shared" ca="1" si="68"/>
        <v/>
      </c>
      <c r="W215" s="23" t="str">
        <f t="shared" ca="1" si="68"/>
        <v/>
      </c>
      <c r="Y215" s="21" t="str">
        <f t="shared" ca="1" si="67"/>
        <v/>
      </c>
      <c r="Z215" s="22" t="str">
        <f t="shared" ca="1" si="67"/>
        <v/>
      </c>
      <c r="AA215" s="22" t="str">
        <f t="shared" ca="1" si="67"/>
        <v/>
      </c>
      <c r="AB215" s="22" t="str">
        <f t="shared" ca="1" si="67"/>
        <v/>
      </c>
      <c r="AC215" s="22" t="str">
        <f t="shared" ca="1" si="67"/>
        <v/>
      </c>
      <c r="AD215" s="22" t="str">
        <f t="shared" ca="1" si="66"/>
        <v/>
      </c>
      <c r="AE215" s="22" t="str">
        <f t="shared" ca="1" si="66"/>
        <v/>
      </c>
      <c r="AF215" s="22" t="str">
        <f t="shared" ca="1" si="66"/>
        <v/>
      </c>
      <c r="AG215" s="22" t="str">
        <f t="shared" ca="1" si="66"/>
        <v/>
      </c>
      <c r="AH215" s="23" t="str">
        <f t="shared" ca="1" si="66"/>
        <v/>
      </c>
      <c r="AJ215" s="12" t="e">
        <f t="shared" si="50"/>
        <v>#N/A</v>
      </c>
      <c r="AK215" s="51" t="e">
        <f t="shared" si="51"/>
        <v>#N/A</v>
      </c>
      <c r="AL215" s="16" t="e">
        <f t="shared" si="52"/>
        <v>#N/A</v>
      </c>
      <c r="AM215" s="16" t="e">
        <f t="shared" si="53"/>
        <v>#N/A</v>
      </c>
      <c r="AN215" s="10" t="e">
        <f t="shared" ca="1" si="54"/>
        <v>#N/A</v>
      </c>
      <c r="AO215" s="10" t="e">
        <f t="shared" ca="1" si="55"/>
        <v>#N/A</v>
      </c>
      <c r="AP215" s="10" t="e">
        <f t="shared" si="56"/>
        <v>#N/A</v>
      </c>
      <c r="AQ215" s="10" t="e">
        <f t="shared" si="57"/>
        <v>#N/A</v>
      </c>
      <c r="AR215" s="10" t="e">
        <f t="shared" si="57"/>
        <v>#N/A</v>
      </c>
      <c r="BC215" s="29"/>
    </row>
    <row r="216" spans="2:55" x14ac:dyDescent="0.25">
      <c r="B216" s="41"/>
      <c r="C216" s="40"/>
      <c r="D216" s="63"/>
      <c r="E216" s="39"/>
      <c r="F216" s="60"/>
      <c r="G216" s="42" t="str">
        <f t="shared" si="63"/>
        <v/>
      </c>
      <c r="H216" s="45">
        <f t="shared" ca="1" si="58"/>
        <v>51</v>
      </c>
      <c r="I216" s="36">
        <f t="shared" ca="1" si="59"/>
        <v>0</v>
      </c>
      <c r="J216" s="36">
        <f t="shared" ca="1" si="60"/>
        <v>0</v>
      </c>
      <c r="L216" s="1">
        <f t="shared" ca="1" si="61"/>
        <v>0</v>
      </c>
      <c r="N216" s="21" t="str">
        <f t="shared" ca="1" si="68"/>
        <v/>
      </c>
      <c r="O216" s="22" t="str">
        <f t="shared" ca="1" si="68"/>
        <v/>
      </c>
      <c r="P216" s="22" t="str">
        <f t="shared" ca="1" si="68"/>
        <v/>
      </c>
      <c r="Q216" s="22" t="str">
        <f t="shared" ca="1" si="68"/>
        <v/>
      </c>
      <c r="R216" s="22" t="str">
        <f t="shared" ca="1" si="68"/>
        <v/>
      </c>
      <c r="S216" s="22" t="str">
        <f t="shared" ca="1" si="68"/>
        <v/>
      </c>
      <c r="T216" s="22" t="str">
        <f t="shared" ca="1" si="68"/>
        <v/>
      </c>
      <c r="U216" s="22" t="str">
        <f t="shared" ca="1" si="68"/>
        <v/>
      </c>
      <c r="V216" s="22" t="str">
        <f t="shared" ca="1" si="68"/>
        <v/>
      </c>
      <c r="W216" s="23" t="str">
        <f t="shared" ca="1" si="68"/>
        <v/>
      </c>
      <c r="Y216" s="21" t="str">
        <f t="shared" ca="1" si="67"/>
        <v/>
      </c>
      <c r="Z216" s="22" t="str">
        <f t="shared" ca="1" si="67"/>
        <v/>
      </c>
      <c r="AA216" s="22" t="str">
        <f t="shared" ca="1" si="67"/>
        <v/>
      </c>
      <c r="AB216" s="22" t="str">
        <f t="shared" ca="1" si="67"/>
        <v/>
      </c>
      <c r="AC216" s="22" t="str">
        <f t="shared" ca="1" si="67"/>
        <v/>
      </c>
      <c r="AD216" s="22" t="str">
        <f t="shared" ca="1" si="66"/>
        <v/>
      </c>
      <c r="AE216" s="22" t="str">
        <f t="shared" ca="1" si="66"/>
        <v/>
      </c>
      <c r="AF216" s="22" t="str">
        <f t="shared" ca="1" si="66"/>
        <v/>
      </c>
      <c r="AG216" s="22" t="str">
        <f t="shared" ca="1" si="66"/>
        <v/>
      </c>
      <c r="AH216" s="23" t="str">
        <f t="shared" ca="1" si="66"/>
        <v/>
      </c>
      <c r="AJ216" s="12" t="e">
        <f t="shared" si="50"/>
        <v>#N/A</v>
      </c>
      <c r="AK216" s="51" t="e">
        <f t="shared" si="51"/>
        <v>#N/A</v>
      </c>
      <c r="AL216" s="16" t="e">
        <f t="shared" si="52"/>
        <v>#N/A</v>
      </c>
      <c r="AM216" s="16" t="e">
        <f t="shared" si="53"/>
        <v>#N/A</v>
      </c>
      <c r="AN216" s="10" t="e">
        <f t="shared" ca="1" si="54"/>
        <v>#N/A</v>
      </c>
      <c r="AO216" s="10" t="e">
        <f t="shared" ca="1" si="55"/>
        <v>#N/A</v>
      </c>
      <c r="AP216" s="10" t="e">
        <f t="shared" si="56"/>
        <v>#N/A</v>
      </c>
      <c r="AQ216" s="10" t="e">
        <f t="shared" si="57"/>
        <v>#N/A</v>
      </c>
      <c r="AR216" s="10" t="e">
        <f t="shared" si="57"/>
        <v>#N/A</v>
      </c>
      <c r="BC216" s="29"/>
    </row>
    <row r="217" spans="2:55" x14ac:dyDescent="0.25">
      <c r="B217" s="41"/>
      <c r="C217" s="40"/>
      <c r="D217" s="63"/>
      <c r="E217" s="39"/>
      <c r="F217" s="60"/>
      <c r="G217" s="42" t="str">
        <f t="shared" si="63"/>
        <v/>
      </c>
      <c r="H217" s="45">
        <f t="shared" ca="1" si="58"/>
        <v>51</v>
      </c>
      <c r="I217" s="36">
        <f t="shared" ca="1" si="59"/>
        <v>0</v>
      </c>
      <c r="J217" s="36">
        <f t="shared" ca="1" si="60"/>
        <v>0</v>
      </c>
      <c r="L217" s="1">
        <f t="shared" ca="1" si="61"/>
        <v>0</v>
      </c>
      <c r="N217" s="21" t="str">
        <f t="shared" ca="1" si="68"/>
        <v/>
      </c>
      <c r="O217" s="22" t="str">
        <f t="shared" ca="1" si="68"/>
        <v/>
      </c>
      <c r="P217" s="22" t="str">
        <f t="shared" ca="1" si="68"/>
        <v/>
      </c>
      <c r="Q217" s="22" t="str">
        <f t="shared" ca="1" si="68"/>
        <v/>
      </c>
      <c r="R217" s="22" t="str">
        <f t="shared" ca="1" si="68"/>
        <v/>
      </c>
      <c r="S217" s="22" t="str">
        <f t="shared" ca="1" si="68"/>
        <v/>
      </c>
      <c r="T217" s="22" t="str">
        <f t="shared" ca="1" si="68"/>
        <v/>
      </c>
      <c r="U217" s="22" t="str">
        <f t="shared" ca="1" si="68"/>
        <v/>
      </c>
      <c r="V217" s="22" t="str">
        <f t="shared" ca="1" si="68"/>
        <v/>
      </c>
      <c r="W217" s="23" t="str">
        <f t="shared" ca="1" si="68"/>
        <v/>
      </c>
      <c r="Y217" s="21" t="str">
        <f t="shared" ca="1" si="67"/>
        <v/>
      </c>
      <c r="Z217" s="22" t="str">
        <f t="shared" ca="1" si="67"/>
        <v/>
      </c>
      <c r="AA217" s="22" t="str">
        <f t="shared" ca="1" si="67"/>
        <v/>
      </c>
      <c r="AB217" s="22" t="str">
        <f t="shared" ca="1" si="67"/>
        <v/>
      </c>
      <c r="AC217" s="22" t="str">
        <f t="shared" ca="1" si="67"/>
        <v/>
      </c>
      <c r="AD217" s="22" t="str">
        <f t="shared" ca="1" si="66"/>
        <v/>
      </c>
      <c r="AE217" s="22" t="str">
        <f t="shared" ca="1" si="66"/>
        <v/>
      </c>
      <c r="AF217" s="22" t="str">
        <f t="shared" ca="1" si="66"/>
        <v/>
      </c>
      <c r="AG217" s="22" t="str">
        <f t="shared" ca="1" si="66"/>
        <v/>
      </c>
      <c r="AH217" s="23" t="str">
        <f t="shared" ca="1" si="66"/>
        <v/>
      </c>
      <c r="AJ217" s="12" t="e">
        <f t="shared" si="50"/>
        <v>#N/A</v>
      </c>
      <c r="AK217" s="51" t="e">
        <f t="shared" si="51"/>
        <v>#N/A</v>
      </c>
      <c r="AL217" s="16" t="e">
        <f t="shared" si="52"/>
        <v>#N/A</v>
      </c>
      <c r="AM217" s="16" t="e">
        <f t="shared" si="53"/>
        <v>#N/A</v>
      </c>
      <c r="AN217" s="10" t="e">
        <f t="shared" ca="1" si="54"/>
        <v>#N/A</v>
      </c>
      <c r="AO217" s="10" t="e">
        <f t="shared" ca="1" si="55"/>
        <v>#N/A</v>
      </c>
      <c r="AP217" s="10" t="e">
        <f t="shared" si="56"/>
        <v>#N/A</v>
      </c>
      <c r="AQ217" s="10" t="e">
        <f t="shared" si="57"/>
        <v>#N/A</v>
      </c>
      <c r="AR217" s="10" t="e">
        <f t="shared" si="57"/>
        <v>#N/A</v>
      </c>
      <c r="BC217" s="29"/>
    </row>
    <row r="218" spans="2:55" x14ac:dyDescent="0.25">
      <c r="B218" s="41"/>
      <c r="C218" s="40"/>
      <c r="D218" s="63"/>
      <c r="E218" s="39"/>
      <c r="F218" s="60"/>
      <c r="G218" s="42" t="str">
        <f t="shared" si="63"/>
        <v/>
      </c>
      <c r="H218" s="45">
        <f t="shared" ca="1" si="58"/>
        <v>51</v>
      </c>
      <c r="I218" s="36">
        <f t="shared" ca="1" si="59"/>
        <v>0</v>
      </c>
      <c r="J218" s="36">
        <f t="shared" ca="1" si="60"/>
        <v>0</v>
      </c>
      <c r="L218" s="1">
        <f t="shared" ca="1" si="61"/>
        <v>0</v>
      </c>
      <c r="N218" s="21" t="str">
        <f t="shared" ca="1" si="68"/>
        <v/>
      </c>
      <c r="O218" s="22" t="str">
        <f t="shared" ca="1" si="68"/>
        <v/>
      </c>
      <c r="P218" s="22" t="str">
        <f t="shared" ca="1" si="68"/>
        <v/>
      </c>
      <c r="Q218" s="22" t="str">
        <f t="shared" ca="1" si="68"/>
        <v/>
      </c>
      <c r="R218" s="22" t="str">
        <f t="shared" ca="1" si="68"/>
        <v/>
      </c>
      <c r="S218" s="22" t="str">
        <f t="shared" ca="1" si="68"/>
        <v/>
      </c>
      <c r="T218" s="22" t="str">
        <f t="shared" ca="1" si="68"/>
        <v/>
      </c>
      <c r="U218" s="22" t="str">
        <f t="shared" ca="1" si="68"/>
        <v/>
      </c>
      <c r="V218" s="22" t="str">
        <f t="shared" ca="1" si="68"/>
        <v/>
      </c>
      <c r="W218" s="23" t="str">
        <f t="shared" ca="1" si="68"/>
        <v/>
      </c>
      <c r="Y218" s="21" t="str">
        <f t="shared" ca="1" si="67"/>
        <v/>
      </c>
      <c r="Z218" s="22" t="str">
        <f t="shared" ca="1" si="67"/>
        <v/>
      </c>
      <c r="AA218" s="22" t="str">
        <f t="shared" ca="1" si="67"/>
        <v/>
      </c>
      <c r="AB218" s="22" t="str">
        <f t="shared" ca="1" si="67"/>
        <v/>
      </c>
      <c r="AC218" s="22" t="str">
        <f t="shared" ca="1" si="67"/>
        <v/>
      </c>
      <c r="AD218" s="22" t="str">
        <f t="shared" ca="1" si="66"/>
        <v/>
      </c>
      <c r="AE218" s="22" t="str">
        <f t="shared" ca="1" si="66"/>
        <v/>
      </c>
      <c r="AF218" s="22" t="str">
        <f t="shared" ca="1" si="66"/>
        <v/>
      </c>
      <c r="AG218" s="22" t="str">
        <f t="shared" ca="1" si="66"/>
        <v/>
      </c>
      <c r="AH218" s="23" t="str">
        <f t="shared" ca="1" si="66"/>
        <v/>
      </c>
      <c r="AJ218" s="12" t="e">
        <f t="shared" ref="AJ218:AJ281" si="69">IF(ISBLANK(C218),NA(),VLOOKUP(L218,values,2,0))</f>
        <v>#N/A</v>
      </c>
      <c r="AK218" s="51" t="e">
        <f t="shared" ref="AK218:AK284" si="70">IF(ISBLANK(C218),NA(),INDEX($AV$26:$BA$35,MATCH(L218,$AT$26:$AT$35,0),MATCH($D$11,$AV$25:$BA$25,0)))</f>
        <v>#N/A</v>
      </c>
      <c r="AL218" s="16" t="e">
        <f t="shared" ref="AL218:AL281" si="71">IF(ISBLANK(C218),NA(),AJ218+AK218)</f>
        <v>#N/A</v>
      </c>
      <c r="AM218" s="16" t="e">
        <f t="shared" ref="AM218:AM284" si="72">IF(ISBLANK(C218),NA(),AJ218-AK218)</f>
        <v>#N/A</v>
      </c>
      <c r="AN218" s="10" t="e">
        <f t="shared" ref="AN218:AN281" ca="1" si="73">IF(SUM(I211:I218)&gt;0,C218,NA())</f>
        <v>#N/A</v>
      </c>
      <c r="AO218" s="10" t="e">
        <f t="shared" ref="AO218:AO281" ca="1" si="74">IF(SUM(J213:J218)&gt;0,C218,NA())</f>
        <v>#N/A</v>
      </c>
      <c r="AP218" s="10" t="e">
        <f t="shared" ref="AP218:AP284" si="75">IF(C218&lt;AM218,C218,IF(C218&gt;AL218,C218,NA()))</f>
        <v>#N/A</v>
      </c>
      <c r="AQ218" s="10" t="e">
        <f t="shared" ref="AQ218:AR284" si="76">IF(ISBLANK(D218),NA(),D218)</f>
        <v>#N/A</v>
      </c>
      <c r="AR218" s="10" t="e">
        <f t="shared" si="76"/>
        <v>#N/A</v>
      </c>
      <c r="BC218" s="29"/>
    </row>
    <row r="219" spans="2:55" x14ac:dyDescent="0.25">
      <c r="B219" s="41"/>
      <c r="C219" s="40"/>
      <c r="D219" s="63"/>
      <c r="E219" s="39"/>
      <c r="F219" s="60"/>
      <c r="G219" s="42" t="str">
        <f t="shared" si="63"/>
        <v/>
      </c>
      <c r="H219" s="45">
        <f t="shared" ref="H219:H282" ca="1" si="77">IF(G219&gt;$C$9,
    IF(I219&lt;&gt;1,
      H218,
      IF(OR($D$7&gt;=1,IF(F219="Change",1,0)=1),
        SUMIFS($C:$C,$G:$G,"&lt;"&amp;G219+$C$13,$G:$G,"&gt;="&amp;G219,$C:$C,"&lt;&gt;")/COUNTIFS($G:$G,"&lt;"&amp;G219+$C$13,$G:$G,"&gt;="&amp;G219,$C:$C,"&lt;&gt;"),
        SUMIFS($C:$C,$G:$G,"&lt;"&amp;$C$9,$C:$C,"&lt;&gt;")/COUNTIFS($G:$G,"&lt;"&amp;$C$9,$C:$C,"&lt;&gt;")
      )
    ),
    SUMIFS($C:$C,$G:$G,"&lt;"&amp;$C$9,$C:$C,"&lt;&gt;")/COUNTIFS($G:$G,"&lt;"&amp;$C$9,$C:$C,"&lt;&gt;")
)</f>
        <v>51</v>
      </c>
      <c r="I219" s="36">
        <f t="shared" ref="I219:I282" ca="1" si="78">IF(G219&gt;$C$9,IF(SUM(I211:I218)&gt;=1,0,IF(OR(ISBLANK(C226),ISNUMBER($C226)=FALSE,SUM(I211:J218)&gt;=1),0,IF(OR(AND(C219&gt;H218,C220&gt;H218,C221&gt;H218,C222&gt;H218,C223&gt;H218,C224&gt;H218,C225&gt;H218,C226&gt;H218),AND(C219&lt;H218,C220&lt;H218,C221&lt;H218,C222&lt;H218,C223&lt;H218,C224&lt;H218,C225&lt;H218,C226&lt;H218)),1,0))),0)</f>
        <v>0</v>
      </c>
      <c r="J219" s="36">
        <f t="shared" ref="J219:J282" ca="1" si="79">IF(G219&gt;$C$9,IF(OR(ISBLANK(C224),ISNUMBER($C226)=FALSE,SUM(I211:J218)&gt;=1),0,IF(SUM(J211:J218)&gt;=1,0,IF(OR(AND(C218&gt;C219,C219&gt;C220,C220&gt;C221,C221&gt;C222,C222&gt;C223,C223&gt;C224),AND(C218&lt;C219,C219&lt;C220,C220&lt;C221,C221&lt;C222,C222&lt;C223,C223&lt;C224)),1,0))),0)</f>
        <v>0</v>
      </c>
      <c r="L219" s="1">
        <f t="shared" ref="L219:L282" ca="1" si="80">IF(L218="Period",1,IF($D$7=1,IF(ISBLANK(C219),0,(IF(I219=1,L218+I219,IF(AND(I219=1,J219=1),L218+I219,L218+J219)))),IF($D$7=2,L218+IF(F219="Change",1,0),1)))</f>
        <v>0</v>
      </c>
      <c r="N219" s="21" t="str">
        <f t="shared" ref="N219:W234" ca="1" si="81">IF(ISNUMBER($C219),IF($G219&lt;=$C$9,IF($L219=N$25,$C219,""),IF(COUNT(INDIRECT(ADDRESS(ROW(N$26),COLUMN())&amp;":"&amp;ADDRESS(ROW()-1,COLUMN())))&gt;$C$13,"",IF($L219=N$25,$C219,""))),"")</f>
        <v/>
      </c>
      <c r="O219" s="22" t="str">
        <f t="shared" ca="1" si="81"/>
        <v/>
      </c>
      <c r="P219" s="22" t="str">
        <f t="shared" ca="1" si="81"/>
        <v/>
      </c>
      <c r="Q219" s="22" t="str">
        <f t="shared" ca="1" si="81"/>
        <v/>
      </c>
      <c r="R219" s="22" t="str">
        <f t="shared" ca="1" si="81"/>
        <v/>
      </c>
      <c r="S219" s="22" t="str">
        <f t="shared" ca="1" si="81"/>
        <v/>
      </c>
      <c r="T219" s="22" t="str">
        <f t="shared" ca="1" si="81"/>
        <v/>
      </c>
      <c r="U219" s="22" t="str">
        <f t="shared" ca="1" si="81"/>
        <v/>
      </c>
      <c r="V219" s="22" t="str">
        <f t="shared" ca="1" si="81"/>
        <v/>
      </c>
      <c r="W219" s="23" t="str">
        <f t="shared" ca="1" si="81"/>
        <v/>
      </c>
      <c r="Y219" s="21" t="str">
        <f t="shared" ca="1" si="67"/>
        <v/>
      </c>
      <c r="Z219" s="22" t="str">
        <f t="shared" ca="1" si="67"/>
        <v/>
      </c>
      <c r="AA219" s="22" t="str">
        <f t="shared" ca="1" si="67"/>
        <v/>
      </c>
      <c r="AB219" s="22" t="str">
        <f t="shared" ca="1" si="67"/>
        <v/>
      </c>
      <c r="AC219" s="22" t="str">
        <f t="shared" ca="1" si="67"/>
        <v/>
      </c>
      <c r="AD219" s="22" t="str">
        <f t="shared" ca="1" si="66"/>
        <v/>
      </c>
      <c r="AE219" s="22" t="str">
        <f t="shared" ca="1" si="66"/>
        <v/>
      </c>
      <c r="AF219" s="22" t="str">
        <f t="shared" ca="1" si="66"/>
        <v/>
      </c>
      <c r="AG219" s="22" t="str">
        <f t="shared" ca="1" si="66"/>
        <v/>
      </c>
      <c r="AH219" s="23" t="str">
        <f t="shared" ca="1" si="66"/>
        <v/>
      </c>
      <c r="AJ219" s="12" t="e">
        <f t="shared" si="69"/>
        <v>#N/A</v>
      </c>
      <c r="AK219" s="51" t="e">
        <f t="shared" si="70"/>
        <v>#N/A</v>
      </c>
      <c r="AL219" s="16" t="e">
        <f t="shared" si="71"/>
        <v>#N/A</v>
      </c>
      <c r="AM219" s="16" t="e">
        <f t="shared" si="72"/>
        <v>#N/A</v>
      </c>
      <c r="AN219" s="10" t="e">
        <f t="shared" ca="1" si="73"/>
        <v>#N/A</v>
      </c>
      <c r="AO219" s="10" t="e">
        <f t="shared" ca="1" si="74"/>
        <v>#N/A</v>
      </c>
      <c r="AP219" s="10" t="e">
        <f t="shared" si="75"/>
        <v>#N/A</v>
      </c>
      <c r="AQ219" s="10" t="e">
        <f t="shared" si="76"/>
        <v>#N/A</v>
      </c>
      <c r="AR219" s="10" t="e">
        <f t="shared" si="76"/>
        <v>#N/A</v>
      </c>
      <c r="BC219" s="29"/>
    </row>
    <row r="220" spans="2:55" x14ac:dyDescent="0.25">
      <c r="B220" s="41"/>
      <c r="C220" s="40"/>
      <c r="D220" s="63"/>
      <c r="E220" s="39"/>
      <c r="F220" s="60"/>
      <c r="G220" s="42" t="str">
        <f t="shared" ref="G220:G283" si="82">IF(ISNUMBER(C220),G219+1,"")</f>
        <v/>
      </c>
      <c r="H220" s="45">
        <f t="shared" ca="1" si="77"/>
        <v>51</v>
      </c>
      <c r="I220" s="36">
        <f t="shared" ca="1" si="78"/>
        <v>0</v>
      </c>
      <c r="J220" s="36">
        <f t="shared" ca="1" si="79"/>
        <v>0</v>
      </c>
      <c r="L220" s="1">
        <f t="shared" ca="1" si="80"/>
        <v>0</v>
      </c>
      <c r="N220" s="21" t="str">
        <f t="shared" ca="1" si="81"/>
        <v/>
      </c>
      <c r="O220" s="22" t="str">
        <f t="shared" ca="1" si="81"/>
        <v/>
      </c>
      <c r="P220" s="22" t="str">
        <f t="shared" ca="1" si="81"/>
        <v/>
      </c>
      <c r="Q220" s="22" t="str">
        <f t="shared" ca="1" si="81"/>
        <v/>
      </c>
      <c r="R220" s="22" t="str">
        <f t="shared" ca="1" si="81"/>
        <v/>
      </c>
      <c r="S220" s="22" t="str">
        <f t="shared" ca="1" si="81"/>
        <v/>
      </c>
      <c r="T220" s="22" t="str">
        <f t="shared" ca="1" si="81"/>
        <v/>
      </c>
      <c r="U220" s="22" t="str">
        <f t="shared" ca="1" si="81"/>
        <v/>
      </c>
      <c r="V220" s="22" t="str">
        <f t="shared" ca="1" si="81"/>
        <v/>
      </c>
      <c r="W220" s="23" t="str">
        <f t="shared" ca="1" si="81"/>
        <v/>
      </c>
      <c r="Y220" s="21" t="str">
        <f t="shared" ca="1" si="67"/>
        <v/>
      </c>
      <c r="Z220" s="22" t="str">
        <f t="shared" ca="1" si="67"/>
        <v/>
      </c>
      <c r="AA220" s="22" t="str">
        <f t="shared" ca="1" si="67"/>
        <v/>
      </c>
      <c r="AB220" s="22" t="str">
        <f t="shared" ca="1" si="67"/>
        <v/>
      </c>
      <c r="AC220" s="22" t="str">
        <f t="shared" ca="1" si="67"/>
        <v/>
      </c>
      <c r="AD220" s="22" t="str">
        <f t="shared" ca="1" si="66"/>
        <v/>
      </c>
      <c r="AE220" s="22" t="str">
        <f t="shared" ca="1" si="66"/>
        <v/>
      </c>
      <c r="AF220" s="22" t="str">
        <f t="shared" ca="1" si="66"/>
        <v/>
      </c>
      <c r="AG220" s="22" t="str">
        <f t="shared" ca="1" si="66"/>
        <v/>
      </c>
      <c r="AH220" s="23" t="str">
        <f t="shared" ca="1" si="66"/>
        <v/>
      </c>
      <c r="AJ220" s="12" t="e">
        <f t="shared" si="69"/>
        <v>#N/A</v>
      </c>
      <c r="AK220" s="51" t="e">
        <f t="shared" si="70"/>
        <v>#N/A</v>
      </c>
      <c r="AL220" s="16" t="e">
        <f t="shared" si="71"/>
        <v>#N/A</v>
      </c>
      <c r="AM220" s="16" t="e">
        <f t="shared" si="72"/>
        <v>#N/A</v>
      </c>
      <c r="AN220" s="10" t="e">
        <f t="shared" ca="1" si="73"/>
        <v>#N/A</v>
      </c>
      <c r="AO220" s="10" t="e">
        <f t="shared" ca="1" si="74"/>
        <v>#N/A</v>
      </c>
      <c r="AP220" s="10" t="e">
        <f t="shared" si="75"/>
        <v>#N/A</v>
      </c>
      <c r="AQ220" s="10" t="e">
        <f t="shared" si="76"/>
        <v>#N/A</v>
      </c>
      <c r="AR220" s="10" t="e">
        <f t="shared" si="76"/>
        <v>#N/A</v>
      </c>
      <c r="BC220" s="29"/>
    </row>
    <row r="221" spans="2:55" x14ac:dyDescent="0.25">
      <c r="B221" s="41"/>
      <c r="C221" s="40"/>
      <c r="D221" s="63"/>
      <c r="E221" s="39"/>
      <c r="F221" s="60"/>
      <c r="G221" s="42" t="str">
        <f t="shared" si="82"/>
        <v/>
      </c>
      <c r="H221" s="45">
        <f t="shared" ca="1" si="77"/>
        <v>51</v>
      </c>
      <c r="I221" s="36">
        <f t="shared" ca="1" si="78"/>
        <v>0</v>
      </c>
      <c r="J221" s="36">
        <f t="shared" ca="1" si="79"/>
        <v>0</v>
      </c>
      <c r="L221" s="1">
        <f t="shared" ca="1" si="80"/>
        <v>0</v>
      </c>
      <c r="N221" s="21" t="str">
        <f t="shared" ca="1" si="81"/>
        <v/>
      </c>
      <c r="O221" s="22" t="str">
        <f t="shared" ca="1" si="81"/>
        <v/>
      </c>
      <c r="P221" s="22" t="str">
        <f t="shared" ca="1" si="81"/>
        <v/>
      </c>
      <c r="Q221" s="22" t="str">
        <f t="shared" ca="1" si="81"/>
        <v/>
      </c>
      <c r="R221" s="22" t="str">
        <f t="shared" ca="1" si="81"/>
        <v/>
      </c>
      <c r="S221" s="22" t="str">
        <f t="shared" ca="1" si="81"/>
        <v/>
      </c>
      <c r="T221" s="22" t="str">
        <f t="shared" ca="1" si="81"/>
        <v/>
      </c>
      <c r="U221" s="22" t="str">
        <f t="shared" ca="1" si="81"/>
        <v/>
      </c>
      <c r="V221" s="22" t="str">
        <f t="shared" ca="1" si="81"/>
        <v/>
      </c>
      <c r="W221" s="23" t="str">
        <f t="shared" ca="1" si="81"/>
        <v/>
      </c>
      <c r="Y221" s="21" t="str">
        <f t="shared" ca="1" si="67"/>
        <v/>
      </c>
      <c r="Z221" s="22" t="str">
        <f t="shared" ca="1" si="67"/>
        <v/>
      </c>
      <c r="AA221" s="22" t="str">
        <f t="shared" ca="1" si="67"/>
        <v/>
      </c>
      <c r="AB221" s="22" t="str">
        <f t="shared" ca="1" si="67"/>
        <v/>
      </c>
      <c r="AC221" s="22" t="str">
        <f t="shared" ca="1" si="67"/>
        <v/>
      </c>
      <c r="AD221" s="22" t="str">
        <f t="shared" ca="1" si="66"/>
        <v/>
      </c>
      <c r="AE221" s="22" t="str">
        <f t="shared" ca="1" si="66"/>
        <v/>
      </c>
      <c r="AF221" s="22" t="str">
        <f t="shared" ca="1" si="66"/>
        <v/>
      </c>
      <c r="AG221" s="22" t="str">
        <f t="shared" ca="1" si="66"/>
        <v/>
      </c>
      <c r="AH221" s="23" t="str">
        <f t="shared" ca="1" si="66"/>
        <v/>
      </c>
      <c r="AJ221" s="12" t="e">
        <f t="shared" si="69"/>
        <v>#N/A</v>
      </c>
      <c r="AK221" s="51" t="e">
        <f t="shared" si="70"/>
        <v>#N/A</v>
      </c>
      <c r="AL221" s="16" t="e">
        <f t="shared" si="71"/>
        <v>#N/A</v>
      </c>
      <c r="AM221" s="16" t="e">
        <f t="shared" si="72"/>
        <v>#N/A</v>
      </c>
      <c r="AN221" s="10" t="e">
        <f t="shared" ca="1" si="73"/>
        <v>#N/A</v>
      </c>
      <c r="AO221" s="10" t="e">
        <f t="shared" ca="1" si="74"/>
        <v>#N/A</v>
      </c>
      <c r="AP221" s="10" t="e">
        <f t="shared" si="75"/>
        <v>#N/A</v>
      </c>
      <c r="AQ221" s="10" t="e">
        <f t="shared" si="76"/>
        <v>#N/A</v>
      </c>
      <c r="AR221" s="10" t="e">
        <f t="shared" si="76"/>
        <v>#N/A</v>
      </c>
      <c r="BC221" s="29"/>
    </row>
    <row r="222" spans="2:55" x14ac:dyDescent="0.25">
      <c r="B222" s="41"/>
      <c r="C222" s="40"/>
      <c r="D222" s="63"/>
      <c r="E222" s="39"/>
      <c r="F222" s="60"/>
      <c r="G222" s="42" t="str">
        <f t="shared" si="82"/>
        <v/>
      </c>
      <c r="H222" s="45">
        <f t="shared" ca="1" si="77"/>
        <v>51</v>
      </c>
      <c r="I222" s="36">
        <f t="shared" ca="1" si="78"/>
        <v>0</v>
      </c>
      <c r="J222" s="36">
        <f t="shared" ca="1" si="79"/>
        <v>0</v>
      </c>
      <c r="L222" s="1">
        <f t="shared" ca="1" si="80"/>
        <v>0</v>
      </c>
      <c r="N222" s="21" t="str">
        <f t="shared" ca="1" si="81"/>
        <v/>
      </c>
      <c r="O222" s="22" t="str">
        <f t="shared" ca="1" si="81"/>
        <v/>
      </c>
      <c r="P222" s="22" t="str">
        <f t="shared" ca="1" si="81"/>
        <v/>
      </c>
      <c r="Q222" s="22" t="str">
        <f t="shared" ca="1" si="81"/>
        <v/>
      </c>
      <c r="R222" s="22" t="str">
        <f t="shared" ca="1" si="81"/>
        <v/>
      </c>
      <c r="S222" s="22" t="str">
        <f t="shared" ca="1" si="81"/>
        <v/>
      </c>
      <c r="T222" s="22" t="str">
        <f t="shared" ca="1" si="81"/>
        <v/>
      </c>
      <c r="U222" s="22" t="str">
        <f t="shared" ca="1" si="81"/>
        <v/>
      </c>
      <c r="V222" s="22" t="str">
        <f t="shared" ca="1" si="81"/>
        <v/>
      </c>
      <c r="W222" s="23" t="str">
        <f t="shared" ca="1" si="81"/>
        <v/>
      </c>
      <c r="Y222" s="21" t="str">
        <f t="shared" ca="1" si="67"/>
        <v/>
      </c>
      <c r="Z222" s="22" t="str">
        <f t="shared" ca="1" si="67"/>
        <v/>
      </c>
      <c r="AA222" s="22" t="str">
        <f t="shared" ca="1" si="67"/>
        <v/>
      </c>
      <c r="AB222" s="22" t="str">
        <f t="shared" ca="1" si="67"/>
        <v/>
      </c>
      <c r="AC222" s="22" t="str">
        <f t="shared" ca="1" si="67"/>
        <v/>
      </c>
      <c r="AD222" s="22" t="str">
        <f t="shared" ca="1" si="66"/>
        <v/>
      </c>
      <c r="AE222" s="22" t="str">
        <f t="shared" ca="1" si="66"/>
        <v/>
      </c>
      <c r="AF222" s="22" t="str">
        <f t="shared" ca="1" si="66"/>
        <v/>
      </c>
      <c r="AG222" s="22" t="str">
        <f t="shared" ca="1" si="66"/>
        <v/>
      </c>
      <c r="AH222" s="23" t="str">
        <f t="shared" ca="1" si="66"/>
        <v/>
      </c>
      <c r="AJ222" s="12" t="e">
        <f t="shared" si="69"/>
        <v>#N/A</v>
      </c>
      <c r="AK222" s="51" t="e">
        <f t="shared" si="70"/>
        <v>#N/A</v>
      </c>
      <c r="AL222" s="16" t="e">
        <f t="shared" si="71"/>
        <v>#N/A</v>
      </c>
      <c r="AM222" s="16" t="e">
        <f t="shared" si="72"/>
        <v>#N/A</v>
      </c>
      <c r="AN222" s="10" t="e">
        <f t="shared" ca="1" si="73"/>
        <v>#N/A</v>
      </c>
      <c r="AO222" s="10" t="e">
        <f t="shared" ca="1" si="74"/>
        <v>#N/A</v>
      </c>
      <c r="AP222" s="10" t="e">
        <f t="shared" si="75"/>
        <v>#N/A</v>
      </c>
      <c r="AQ222" s="10" t="e">
        <f t="shared" si="76"/>
        <v>#N/A</v>
      </c>
      <c r="AR222" s="10" t="e">
        <f t="shared" si="76"/>
        <v>#N/A</v>
      </c>
      <c r="BC222" s="29"/>
    </row>
    <row r="223" spans="2:55" x14ac:dyDescent="0.25">
      <c r="B223" s="41"/>
      <c r="C223" s="40"/>
      <c r="D223" s="63"/>
      <c r="E223" s="39"/>
      <c r="F223" s="60"/>
      <c r="G223" s="42" t="str">
        <f t="shared" si="82"/>
        <v/>
      </c>
      <c r="H223" s="45">
        <f t="shared" ca="1" si="77"/>
        <v>51</v>
      </c>
      <c r="I223" s="36">
        <f t="shared" ca="1" si="78"/>
        <v>0</v>
      </c>
      <c r="J223" s="36">
        <f t="shared" ca="1" si="79"/>
        <v>0</v>
      </c>
      <c r="L223" s="1">
        <f t="shared" ca="1" si="80"/>
        <v>0</v>
      </c>
      <c r="N223" s="21" t="str">
        <f t="shared" ca="1" si="81"/>
        <v/>
      </c>
      <c r="O223" s="22" t="str">
        <f t="shared" ca="1" si="81"/>
        <v/>
      </c>
      <c r="P223" s="22" t="str">
        <f t="shared" ca="1" si="81"/>
        <v/>
      </c>
      <c r="Q223" s="22" t="str">
        <f t="shared" ca="1" si="81"/>
        <v/>
      </c>
      <c r="R223" s="22" t="str">
        <f t="shared" ca="1" si="81"/>
        <v/>
      </c>
      <c r="S223" s="22" t="str">
        <f t="shared" ca="1" si="81"/>
        <v/>
      </c>
      <c r="T223" s="22" t="str">
        <f t="shared" ca="1" si="81"/>
        <v/>
      </c>
      <c r="U223" s="22" t="str">
        <f t="shared" ca="1" si="81"/>
        <v/>
      </c>
      <c r="V223" s="22" t="str">
        <f t="shared" ca="1" si="81"/>
        <v/>
      </c>
      <c r="W223" s="23" t="str">
        <f t="shared" ca="1" si="81"/>
        <v/>
      </c>
      <c r="Y223" s="21" t="str">
        <f t="shared" ca="1" si="67"/>
        <v/>
      </c>
      <c r="Z223" s="22" t="str">
        <f t="shared" ca="1" si="67"/>
        <v/>
      </c>
      <c r="AA223" s="22" t="str">
        <f t="shared" ca="1" si="67"/>
        <v/>
      </c>
      <c r="AB223" s="22" t="str">
        <f t="shared" ca="1" si="67"/>
        <v/>
      </c>
      <c r="AC223" s="22" t="str">
        <f t="shared" ca="1" si="67"/>
        <v/>
      </c>
      <c r="AD223" s="22" t="str">
        <f t="shared" ca="1" si="66"/>
        <v/>
      </c>
      <c r="AE223" s="22" t="str">
        <f t="shared" ca="1" si="66"/>
        <v/>
      </c>
      <c r="AF223" s="22" t="str">
        <f t="shared" ca="1" si="66"/>
        <v/>
      </c>
      <c r="AG223" s="22" t="str">
        <f t="shared" ca="1" si="66"/>
        <v/>
      </c>
      <c r="AH223" s="23" t="str">
        <f t="shared" ca="1" si="66"/>
        <v/>
      </c>
      <c r="AJ223" s="12" t="e">
        <f t="shared" si="69"/>
        <v>#N/A</v>
      </c>
      <c r="AK223" s="51" t="e">
        <f t="shared" si="70"/>
        <v>#N/A</v>
      </c>
      <c r="AL223" s="16" t="e">
        <f t="shared" si="71"/>
        <v>#N/A</v>
      </c>
      <c r="AM223" s="16" t="e">
        <f t="shared" si="72"/>
        <v>#N/A</v>
      </c>
      <c r="AN223" s="10" t="e">
        <f t="shared" ca="1" si="73"/>
        <v>#N/A</v>
      </c>
      <c r="AO223" s="10" t="e">
        <f t="shared" ca="1" si="74"/>
        <v>#N/A</v>
      </c>
      <c r="AP223" s="10" t="e">
        <f t="shared" si="75"/>
        <v>#N/A</v>
      </c>
      <c r="AQ223" s="10" t="e">
        <f t="shared" si="76"/>
        <v>#N/A</v>
      </c>
      <c r="AR223" s="10" t="e">
        <f t="shared" si="76"/>
        <v>#N/A</v>
      </c>
      <c r="BC223" s="29"/>
    </row>
    <row r="224" spans="2:55" x14ac:dyDescent="0.25">
      <c r="B224" s="41"/>
      <c r="C224" s="40"/>
      <c r="D224" s="63"/>
      <c r="E224" s="39"/>
      <c r="F224" s="60"/>
      <c r="G224" s="42" t="str">
        <f t="shared" si="82"/>
        <v/>
      </c>
      <c r="H224" s="45">
        <f t="shared" ca="1" si="77"/>
        <v>51</v>
      </c>
      <c r="I224" s="36">
        <f t="shared" ca="1" si="78"/>
        <v>0</v>
      </c>
      <c r="J224" s="36">
        <f t="shared" ca="1" si="79"/>
        <v>0</v>
      </c>
      <c r="L224" s="1">
        <f t="shared" ca="1" si="80"/>
        <v>0</v>
      </c>
      <c r="N224" s="21" t="str">
        <f t="shared" ca="1" si="81"/>
        <v/>
      </c>
      <c r="O224" s="22" t="str">
        <f t="shared" ca="1" si="81"/>
        <v/>
      </c>
      <c r="P224" s="22" t="str">
        <f t="shared" ca="1" si="81"/>
        <v/>
      </c>
      <c r="Q224" s="22" t="str">
        <f t="shared" ca="1" si="81"/>
        <v/>
      </c>
      <c r="R224" s="22" t="str">
        <f t="shared" ca="1" si="81"/>
        <v/>
      </c>
      <c r="S224" s="22" t="str">
        <f t="shared" ca="1" si="81"/>
        <v/>
      </c>
      <c r="T224" s="22" t="str">
        <f t="shared" ca="1" si="81"/>
        <v/>
      </c>
      <c r="U224" s="22" t="str">
        <f t="shared" ca="1" si="81"/>
        <v/>
      </c>
      <c r="V224" s="22" t="str">
        <f t="shared" ca="1" si="81"/>
        <v/>
      </c>
      <c r="W224" s="23" t="str">
        <f t="shared" ca="1" si="81"/>
        <v/>
      </c>
      <c r="Y224" s="21" t="str">
        <f t="shared" ca="1" si="67"/>
        <v/>
      </c>
      <c r="Z224" s="22" t="str">
        <f t="shared" ca="1" si="67"/>
        <v/>
      </c>
      <c r="AA224" s="22" t="str">
        <f t="shared" ca="1" si="67"/>
        <v/>
      </c>
      <c r="AB224" s="22" t="str">
        <f t="shared" ca="1" si="67"/>
        <v/>
      </c>
      <c r="AC224" s="22" t="str">
        <f t="shared" ca="1" si="67"/>
        <v/>
      </c>
      <c r="AD224" s="22" t="str">
        <f t="shared" ca="1" si="66"/>
        <v/>
      </c>
      <c r="AE224" s="22" t="str">
        <f t="shared" ca="1" si="66"/>
        <v/>
      </c>
      <c r="AF224" s="22" t="str">
        <f t="shared" ca="1" si="66"/>
        <v/>
      </c>
      <c r="AG224" s="22" t="str">
        <f t="shared" ca="1" si="66"/>
        <v/>
      </c>
      <c r="AH224" s="23" t="str">
        <f t="shared" ca="1" si="66"/>
        <v/>
      </c>
      <c r="AJ224" s="12" t="e">
        <f t="shared" si="69"/>
        <v>#N/A</v>
      </c>
      <c r="AK224" s="51" t="e">
        <f t="shared" si="70"/>
        <v>#N/A</v>
      </c>
      <c r="AL224" s="16" t="e">
        <f t="shared" si="71"/>
        <v>#N/A</v>
      </c>
      <c r="AM224" s="16" t="e">
        <f t="shared" si="72"/>
        <v>#N/A</v>
      </c>
      <c r="AN224" s="10" t="e">
        <f t="shared" ca="1" si="73"/>
        <v>#N/A</v>
      </c>
      <c r="AO224" s="10" t="e">
        <f t="shared" ca="1" si="74"/>
        <v>#N/A</v>
      </c>
      <c r="AP224" s="10" t="e">
        <f t="shared" si="75"/>
        <v>#N/A</v>
      </c>
      <c r="AQ224" s="10" t="e">
        <f t="shared" si="76"/>
        <v>#N/A</v>
      </c>
      <c r="AR224" s="10" t="e">
        <f t="shared" si="76"/>
        <v>#N/A</v>
      </c>
      <c r="BC224" s="29"/>
    </row>
    <row r="225" spans="2:55" x14ac:dyDescent="0.25">
      <c r="B225" s="41"/>
      <c r="C225" s="40"/>
      <c r="D225" s="63"/>
      <c r="E225" s="39"/>
      <c r="F225" s="60"/>
      <c r="G225" s="42" t="str">
        <f t="shared" si="82"/>
        <v/>
      </c>
      <c r="H225" s="45">
        <f t="shared" ca="1" si="77"/>
        <v>51</v>
      </c>
      <c r="I225" s="36">
        <f t="shared" ca="1" si="78"/>
        <v>0</v>
      </c>
      <c r="J225" s="36">
        <f t="shared" ca="1" si="79"/>
        <v>0</v>
      </c>
      <c r="L225" s="1">
        <f t="shared" ca="1" si="80"/>
        <v>0</v>
      </c>
      <c r="N225" s="21" t="str">
        <f t="shared" ca="1" si="81"/>
        <v/>
      </c>
      <c r="O225" s="22" t="str">
        <f t="shared" ca="1" si="81"/>
        <v/>
      </c>
      <c r="P225" s="22" t="str">
        <f t="shared" ca="1" si="81"/>
        <v/>
      </c>
      <c r="Q225" s="22" t="str">
        <f t="shared" ca="1" si="81"/>
        <v/>
      </c>
      <c r="R225" s="22" t="str">
        <f t="shared" ca="1" si="81"/>
        <v/>
      </c>
      <c r="S225" s="22" t="str">
        <f t="shared" ca="1" si="81"/>
        <v/>
      </c>
      <c r="T225" s="22" t="str">
        <f t="shared" ca="1" si="81"/>
        <v/>
      </c>
      <c r="U225" s="22" t="str">
        <f t="shared" ca="1" si="81"/>
        <v/>
      </c>
      <c r="V225" s="22" t="str">
        <f t="shared" ca="1" si="81"/>
        <v/>
      </c>
      <c r="W225" s="23" t="str">
        <f t="shared" ca="1" si="81"/>
        <v/>
      </c>
      <c r="Y225" s="21" t="str">
        <f t="shared" ca="1" si="67"/>
        <v/>
      </c>
      <c r="Z225" s="22" t="str">
        <f t="shared" ca="1" si="67"/>
        <v/>
      </c>
      <c r="AA225" s="22" t="str">
        <f t="shared" ca="1" si="67"/>
        <v/>
      </c>
      <c r="AB225" s="22" t="str">
        <f t="shared" ca="1" si="67"/>
        <v/>
      </c>
      <c r="AC225" s="22" t="str">
        <f t="shared" ca="1" si="67"/>
        <v/>
      </c>
      <c r="AD225" s="22" t="str">
        <f t="shared" ca="1" si="66"/>
        <v/>
      </c>
      <c r="AE225" s="22" t="str">
        <f t="shared" ca="1" si="66"/>
        <v/>
      </c>
      <c r="AF225" s="22" t="str">
        <f t="shared" ca="1" si="66"/>
        <v/>
      </c>
      <c r="AG225" s="22" t="str">
        <f t="shared" ca="1" si="66"/>
        <v/>
      </c>
      <c r="AH225" s="23" t="str">
        <f t="shared" ca="1" si="66"/>
        <v/>
      </c>
      <c r="AJ225" s="12" t="e">
        <f t="shared" si="69"/>
        <v>#N/A</v>
      </c>
      <c r="AK225" s="51" t="e">
        <f t="shared" si="70"/>
        <v>#N/A</v>
      </c>
      <c r="AL225" s="16" t="e">
        <f t="shared" si="71"/>
        <v>#N/A</v>
      </c>
      <c r="AM225" s="16" t="e">
        <f t="shared" si="72"/>
        <v>#N/A</v>
      </c>
      <c r="AN225" s="10" t="e">
        <f t="shared" ca="1" si="73"/>
        <v>#N/A</v>
      </c>
      <c r="AO225" s="10" t="e">
        <f t="shared" ca="1" si="74"/>
        <v>#N/A</v>
      </c>
      <c r="AP225" s="10" t="e">
        <f t="shared" si="75"/>
        <v>#N/A</v>
      </c>
      <c r="AQ225" s="10" t="e">
        <f t="shared" si="76"/>
        <v>#N/A</v>
      </c>
      <c r="AR225" s="10" t="e">
        <f t="shared" si="76"/>
        <v>#N/A</v>
      </c>
      <c r="BC225" s="29"/>
    </row>
    <row r="226" spans="2:55" x14ac:dyDescent="0.25">
      <c r="B226" s="41"/>
      <c r="C226" s="40"/>
      <c r="D226" s="63"/>
      <c r="E226" s="39"/>
      <c r="F226" s="60"/>
      <c r="G226" s="42" t="str">
        <f t="shared" si="82"/>
        <v/>
      </c>
      <c r="H226" s="45">
        <f t="shared" ca="1" si="77"/>
        <v>51</v>
      </c>
      <c r="I226" s="36">
        <f t="shared" ca="1" si="78"/>
        <v>0</v>
      </c>
      <c r="J226" s="36">
        <f t="shared" ca="1" si="79"/>
        <v>0</v>
      </c>
      <c r="L226" s="1">
        <f t="shared" ca="1" si="80"/>
        <v>0</v>
      </c>
      <c r="N226" s="21" t="str">
        <f t="shared" ca="1" si="81"/>
        <v/>
      </c>
      <c r="O226" s="22" t="str">
        <f t="shared" ca="1" si="81"/>
        <v/>
      </c>
      <c r="P226" s="22" t="str">
        <f t="shared" ca="1" si="81"/>
        <v/>
      </c>
      <c r="Q226" s="22" t="str">
        <f t="shared" ca="1" si="81"/>
        <v/>
      </c>
      <c r="R226" s="22" t="str">
        <f t="shared" ca="1" si="81"/>
        <v/>
      </c>
      <c r="S226" s="22" t="str">
        <f t="shared" ca="1" si="81"/>
        <v/>
      </c>
      <c r="T226" s="22" t="str">
        <f t="shared" ca="1" si="81"/>
        <v/>
      </c>
      <c r="U226" s="22" t="str">
        <f t="shared" ca="1" si="81"/>
        <v/>
      </c>
      <c r="V226" s="22" t="str">
        <f t="shared" ca="1" si="81"/>
        <v/>
      </c>
      <c r="W226" s="23" t="str">
        <f t="shared" ca="1" si="81"/>
        <v/>
      </c>
      <c r="Y226" s="21" t="str">
        <f t="shared" ca="1" si="67"/>
        <v/>
      </c>
      <c r="Z226" s="22" t="str">
        <f t="shared" ca="1" si="67"/>
        <v/>
      </c>
      <c r="AA226" s="22" t="str">
        <f t="shared" ca="1" si="67"/>
        <v/>
      </c>
      <c r="AB226" s="22" t="str">
        <f t="shared" ca="1" si="67"/>
        <v/>
      </c>
      <c r="AC226" s="22" t="str">
        <f t="shared" ca="1" si="67"/>
        <v/>
      </c>
      <c r="AD226" s="22" t="str">
        <f t="shared" ca="1" si="66"/>
        <v/>
      </c>
      <c r="AE226" s="22" t="str">
        <f t="shared" ca="1" si="66"/>
        <v/>
      </c>
      <c r="AF226" s="22" t="str">
        <f t="shared" ca="1" si="66"/>
        <v/>
      </c>
      <c r="AG226" s="22" t="str">
        <f t="shared" ca="1" si="66"/>
        <v/>
      </c>
      <c r="AH226" s="23" t="str">
        <f t="shared" ca="1" si="66"/>
        <v/>
      </c>
      <c r="AJ226" s="12" t="e">
        <f t="shared" si="69"/>
        <v>#N/A</v>
      </c>
      <c r="AK226" s="51" t="e">
        <f t="shared" si="70"/>
        <v>#N/A</v>
      </c>
      <c r="AL226" s="16" t="e">
        <f t="shared" si="71"/>
        <v>#N/A</v>
      </c>
      <c r="AM226" s="16" t="e">
        <f t="shared" si="72"/>
        <v>#N/A</v>
      </c>
      <c r="AN226" s="10" t="e">
        <f t="shared" ca="1" si="73"/>
        <v>#N/A</v>
      </c>
      <c r="AO226" s="10" t="e">
        <f t="shared" ca="1" si="74"/>
        <v>#N/A</v>
      </c>
      <c r="AP226" s="10" t="e">
        <f t="shared" si="75"/>
        <v>#N/A</v>
      </c>
      <c r="AQ226" s="10" t="e">
        <f t="shared" si="76"/>
        <v>#N/A</v>
      </c>
      <c r="AR226" s="10" t="e">
        <f t="shared" si="76"/>
        <v>#N/A</v>
      </c>
      <c r="BC226" s="29"/>
    </row>
    <row r="227" spans="2:55" x14ac:dyDescent="0.25">
      <c r="B227" s="41"/>
      <c r="C227" s="40"/>
      <c r="D227" s="63"/>
      <c r="E227" s="39"/>
      <c r="F227" s="60"/>
      <c r="G227" s="42" t="str">
        <f t="shared" si="82"/>
        <v/>
      </c>
      <c r="H227" s="45">
        <f t="shared" ca="1" si="77"/>
        <v>51</v>
      </c>
      <c r="I227" s="36">
        <f t="shared" ca="1" si="78"/>
        <v>0</v>
      </c>
      <c r="J227" s="36">
        <f t="shared" ca="1" si="79"/>
        <v>0</v>
      </c>
      <c r="L227" s="1">
        <f t="shared" ca="1" si="80"/>
        <v>0</v>
      </c>
      <c r="N227" s="21" t="str">
        <f t="shared" ca="1" si="81"/>
        <v/>
      </c>
      <c r="O227" s="22" t="str">
        <f t="shared" ca="1" si="81"/>
        <v/>
      </c>
      <c r="P227" s="22" t="str">
        <f t="shared" ca="1" si="81"/>
        <v/>
      </c>
      <c r="Q227" s="22" t="str">
        <f t="shared" ca="1" si="81"/>
        <v/>
      </c>
      <c r="R227" s="22" t="str">
        <f t="shared" ca="1" si="81"/>
        <v/>
      </c>
      <c r="S227" s="22" t="str">
        <f t="shared" ca="1" si="81"/>
        <v/>
      </c>
      <c r="T227" s="22" t="str">
        <f t="shared" ca="1" si="81"/>
        <v/>
      </c>
      <c r="U227" s="22" t="str">
        <f t="shared" ca="1" si="81"/>
        <v/>
      </c>
      <c r="V227" s="22" t="str">
        <f t="shared" ca="1" si="81"/>
        <v/>
      </c>
      <c r="W227" s="23" t="str">
        <f t="shared" ca="1" si="81"/>
        <v/>
      </c>
      <c r="Y227" s="21" t="str">
        <f t="shared" ca="1" si="67"/>
        <v/>
      </c>
      <c r="Z227" s="22" t="str">
        <f t="shared" ca="1" si="67"/>
        <v/>
      </c>
      <c r="AA227" s="22" t="str">
        <f t="shared" ca="1" si="67"/>
        <v/>
      </c>
      <c r="AB227" s="22" t="str">
        <f t="shared" ca="1" si="67"/>
        <v/>
      </c>
      <c r="AC227" s="22" t="str">
        <f t="shared" ca="1" si="67"/>
        <v/>
      </c>
      <c r="AD227" s="22" t="str">
        <f t="shared" ca="1" si="66"/>
        <v/>
      </c>
      <c r="AE227" s="22" t="str">
        <f t="shared" ca="1" si="66"/>
        <v/>
      </c>
      <c r="AF227" s="22" t="str">
        <f t="shared" ca="1" si="66"/>
        <v/>
      </c>
      <c r="AG227" s="22" t="str">
        <f t="shared" ca="1" si="66"/>
        <v/>
      </c>
      <c r="AH227" s="23" t="str">
        <f t="shared" ca="1" si="66"/>
        <v/>
      </c>
      <c r="AJ227" s="12" t="e">
        <f t="shared" si="69"/>
        <v>#N/A</v>
      </c>
      <c r="AK227" s="51" t="e">
        <f t="shared" si="70"/>
        <v>#N/A</v>
      </c>
      <c r="AL227" s="16" t="e">
        <f t="shared" si="71"/>
        <v>#N/A</v>
      </c>
      <c r="AM227" s="16" t="e">
        <f t="shared" si="72"/>
        <v>#N/A</v>
      </c>
      <c r="AN227" s="10" t="e">
        <f t="shared" ca="1" si="73"/>
        <v>#N/A</v>
      </c>
      <c r="AO227" s="10" t="e">
        <f t="shared" ca="1" si="74"/>
        <v>#N/A</v>
      </c>
      <c r="AP227" s="10" t="e">
        <f t="shared" si="75"/>
        <v>#N/A</v>
      </c>
      <c r="AQ227" s="10" t="e">
        <f t="shared" si="76"/>
        <v>#N/A</v>
      </c>
      <c r="AR227" s="10" t="e">
        <f t="shared" si="76"/>
        <v>#N/A</v>
      </c>
      <c r="BC227" s="29"/>
    </row>
    <row r="228" spans="2:55" x14ac:dyDescent="0.25">
      <c r="B228" s="41"/>
      <c r="C228" s="40"/>
      <c r="D228" s="63"/>
      <c r="E228" s="39"/>
      <c r="F228" s="60"/>
      <c r="G228" s="42" t="str">
        <f t="shared" si="82"/>
        <v/>
      </c>
      <c r="H228" s="45">
        <f t="shared" ca="1" si="77"/>
        <v>51</v>
      </c>
      <c r="I228" s="36">
        <f t="shared" ca="1" si="78"/>
        <v>0</v>
      </c>
      <c r="J228" s="36">
        <f t="shared" ca="1" si="79"/>
        <v>0</v>
      </c>
      <c r="L228" s="1">
        <f t="shared" ca="1" si="80"/>
        <v>0</v>
      </c>
      <c r="N228" s="21" t="str">
        <f t="shared" ca="1" si="81"/>
        <v/>
      </c>
      <c r="O228" s="22" t="str">
        <f t="shared" ca="1" si="81"/>
        <v/>
      </c>
      <c r="P228" s="22" t="str">
        <f t="shared" ca="1" si="81"/>
        <v/>
      </c>
      <c r="Q228" s="22" t="str">
        <f t="shared" ca="1" si="81"/>
        <v/>
      </c>
      <c r="R228" s="22" t="str">
        <f t="shared" ca="1" si="81"/>
        <v/>
      </c>
      <c r="S228" s="22" t="str">
        <f t="shared" ca="1" si="81"/>
        <v/>
      </c>
      <c r="T228" s="22" t="str">
        <f t="shared" ca="1" si="81"/>
        <v/>
      </c>
      <c r="U228" s="22" t="str">
        <f t="shared" ca="1" si="81"/>
        <v/>
      </c>
      <c r="V228" s="22" t="str">
        <f t="shared" ca="1" si="81"/>
        <v/>
      </c>
      <c r="W228" s="23" t="str">
        <f t="shared" ca="1" si="81"/>
        <v/>
      </c>
      <c r="Y228" s="21" t="str">
        <f t="shared" ca="1" si="67"/>
        <v/>
      </c>
      <c r="Z228" s="22" t="str">
        <f t="shared" ca="1" si="67"/>
        <v/>
      </c>
      <c r="AA228" s="22" t="str">
        <f t="shared" ca="1" si="67"/>
        <v/>
      </c>
      <c r="AB228" s="22" t="str">
        <f t="shared" ca="1" si="67"/>
        <v/>
      </c>
      <c r="AC228" s="22" t="str">
        <f t="shared" ca="1" si="67"/>
        <v/>
      </c>
      <c r="AD228" s="22" t="str">
        <f t="shared" ca="1" si="66"/>
        <v/>
      </c>
      <c r="AE228" s="22" t="str">
        <f t="shared" ca="1" si="66"/>
        <v/>
      </c>
      <c r="AF228" s="22" t="str">
        <f t="shared" ca="1" si="66"/>
        <v/>
      </c>
      <c r="AG228" s="22" t="str">
        <f t="shared" ca="1" si="66"/>
        <v/>
      </c>
      <c r="AH228" s="23" t="str">
        <f t="shared" ca="1" si="66"/>
        <v/>
      </c>
      <c r="AJ228" s="12" t="e">
        <f t="shared" si="69"/>
        <v>#N/A</v>
      </c>
      <c r="AK228" s="51" t="e">
        <f t="shared" si="70"/>
        <v>#N/A</v>
      </c>
      <c r="AL228" s="16" t="e">
        <f t="shared" si="71"/>
        <v>#N/A</v>
      </c>
      <c r="AM228" s="16" t="e">
        <f t="shared" si="72"/>
        <v>#N/A</v>
      </c>
      <c r="AN228" s="10" t="e">
        <f t="shared" ca="1" si="73"/>
        <v>#N/A</v>
      </c>
      <c r="AO228" s="10" t="e">
        <f t="shared" ca="1" si="74"/>
        <v>#N/A</v>
      </c>
      <c r="AP228" s="10" t="e">
        <f t="shared" si="75"/>
        <v>#N/A</v>
      </c>
      <c r="AQ228" s="10" t="e">
        <f t="shared" si="76"/>
        <v>#N/A</v>
      </c>
      <c r="AR228" s="10" t="e">
        <f t="shared" si="76"/>
        <v>#N/A</v>
      </c>
      <c r="BC228" s="29"/>
    </row>
    <row r="229" spans="2:55" x14ac:dyDescent="0.25">
      <c r="B229" s="41"/>
      <c r="C229" s="40"/>
      <c r="D229" s="63"/>
      <c r="E229" s="39"/>
      <c r="F229" s="60"/>
      <c r="G229" s="42" t="str">
        <f t="shared" si="82"/>
        <v/>
      </c>
      <c r="H229" s="45">
        <f t="shared" ca="1" si="77"/>
        <v>51</v>
      </c>
      <c r="I229" s="36">
        <f t="shared" ca="1" si="78"/>
        <v>0</v>
      </c>
      <c r="J229" s="36">
        <f t="shared" ca="1" si="79"/>
        <v>0</v>
      </c>
      <c r="L229" s="1">
        <f t="shared" ca="1" si="80"/>
        <v>0</v>
      </c>
      <c r="N229" s="21" t="str">
        <f t="shared" ca="1" si="81"/>
        <v/>
      </c>
      <c r="O229" s="22" t="str">
        <f t="shared" ca="1" si="81"/>
        <v/>
      </c>
      <c r="P229" s="22" t="str">
        <f t="shared" ca="1" si="81"/>
        <v/>
      </c>
      <c r="Q229" s="22" t="str">
        <f t="shared" ca="1" si="81"/>
        <v/>
      </c>
      <c r="R229" s="22" t="str">
        <f t="shared" ca="1" si="81"/>
        <v/>
      </c>
      <c r="S229" s="22" t="str">
        <f t="shared" ca="1" si="81"/>
        <v/>
      </c>
      <c r="T229" s="22" t="str">
        <f t="shared" ca="1" si="81"/>
        <v/>
      </c>
      <c r="U229" s="22" t="str">
        <f t="shared" ca="1" si="81"/>
        <v/>
      </c>
      <c r="V229" s="22" t="str">
        <f t="shared" ca="1" si="81"/>
        <v/>
      </c>
      <c r="W229" s="23" t="str">
        <f t="shared" ca="1" si="81"/>
        <v/>
      </c>
      <c r="Y229" s="21" t="str">
        <f t="shared" ca="1" si="67"/>
        <v/>
      </c>
      <c r="Z229" s="22" t="str">
        <f t="shared" ca="1" si="67"/>
        <v/>
      </c>
      <c r="AA229" s="22" t="str">
        <f t="shared" ca="1" si="67"/>
        <v/>
      </c>
      <c r="AB229" s="22" t="str">
        <f t="shared" ca="1" si="67"/>
        <v/>
      </c>
      <c r="AC229" s="22" t="str">
        <f t="shared" ca="1" si="67"/>
        <v/>
      </c>
      <c r="AD229" s="22" t="str">
        <f t="shared" ca="1" si="66"/>
        <v/>
      </c>
      <c r="AE229" s="22" t="str">
        <f t="shared" ca="1" si="66"/>
        <v/>
      </c>
      <c r="AF229" s="22" t="str">
        <f t="shared" ca="1" si="66"/>
        <v/>
      </c>
      <c r="AG229" s="22" t="str">
        <f t="shared" ca="1" si="66"/>
        <v/>
      </c>
      <c r="AH229" s="23" t="str">
        <f t="shared" ca="1" si="66"/>
        <v/>
      </c>
      <c r="AJ229" s="12" t="e">
        <f t="shared" si="69"/>
        <v>#N/A</v>
      </c>
      <c r="AK229" s="51" t="e">
        <f t="shared" si="70"/>
        <v>#N/A</v>
      </c>
      <c r="AL229" s="16" t="e">
        <f t="shared" si="71"/>
        <v>#N/A</v>
      </c>
      <c r="AM229" s="16" t="e">
        <f t="shared" si="72"/>
        <v>#N/A</v>
      </c>
      <c r="AN229" s="10" t="e">
        <f t="shared" ca="1" si="73"/>
        <v>#N/A</v>
      </c>
      <c r="AO229" s="10" t="e">
        <f t="shared" ca="1" si="74"/>
        <v>#N/A</v>
      </c>
      <c r="AP229" s="10" t="e">
        <f t="shared" si="75"/>
        <v>#N/A</v>
      </c>
      <c r="AQ229" s="10" t="e">
        <f t="shared" si="76"/>
        <v>#N/A</v>
      </c>
      <c r="AR229" s="10" t="e">
        <f t="shared" si="76"/>
        <v>#N/A</v>
      </c>
      <c r="BC229" s="29"/>
    </row>
    <row r="230" spans="2:55" x14ac:dyDescent="0.25">
      <c r="B230" s="41"/>
      <c r="C230" s="40"/>
      <c r="D230" s="63"/>
      <c r="E230" s="39"/>
      <c r="F230" s="60"/>
      <c r="G230" s="42" t="str">
        <f t="shared" si="82"/>
        <v/>
      </c>
      <c r="H230" s="45">
        <f t="shared" ca="1" si="77"/>
        <v>51</v>
      </c>
      <c r="I230" s="36">
        <f t="shared" ca="1" si="78"/>
        <v>0</v>
      </c>
      <c r="J230" s="36">
        <f t="shared" ca="1" si="79"/>
        <v>0</v>
      </c>
      <c r="L230" s="1">
        <f t="shared" ca="1" si="80"/>
        <v>0</v>
      </c>
      <c r="N230" s="21" t="str">
        <f t="shared" ca="1" si="81"/>
        <v/>
      </c>
      <c r="O230" s="22" t="str">
        <f t="shared" ca="1" si="81"/>
        <v/>
      </c>
      <c r="P230" s="22" t="str">
        <f t="shared" ca="1" si="81"/>
        <v/>
      </c>
      <c r="Q230" s="22" t="str">
        <f t="shared" ca="1" si="81"/>
        <v/>
      </c>
      <c r="R230" s="22" t="str">
        <f t="shared" ca="1" si="81"/>
        <v/>
      </c>
      <c r="S230" s="22" t="str">
        <f t="shared" ca="1" si="81"/>
        <v/>
      </c>
      <c r="T230" s="22" t="str">
        <f t="shared" ca="1" si="81"/>
        <v/>
      </c>
      <c r="U230" s="22" t="str">
        <f t="shared" ca="1" si="81"/>
        <v/>
      </c>
      <c r="V230" s="22" t="str">
        <f t="shared" ca="1" si="81"/>
        <v/>
      </c>
      <c r="W230" s="23" t="str">
        <f t="shared" ca="1" si="81"/>
        <v/>
      </c>
      <c r="Y230" s="21" t="str">
        <f t="shared" ca="1" si="67"/>
        <v/>
      </c>
      <c r="Z230" s="22" t="str">
        <f t="shared" ca="1" si="67"/>
        <v/>
      </c>
      <c r="AA230" s="22" t="str">
        <f t="shared" ca="1" si="67"/>
        <v/>
      </c>
      <c r="AB230" s="22" t="str">
        <f t="shared" ca="1" si="67"/>
        <v/>
      </c>
      <c r="AC230" s="22" t="str">
        <f t="shared" ca="1" si="67"/>
        <v/>
      </c>
      <c r="AD230" s="22" t="str">
        <f t="shared" ca="1" si="66"/>
        <v/>
      </c>
      <c r="AE230" s="22" t="str">
        <f t="shared" ca="1" si="66"/>
        <v/>
      </c>
      <c r="AF230" s="22" t="str">
        <f t="shared" ca="1" si="66"/>
        <v/>
      </c>
      <c r="AG230" s="22" t="str">
        <f t="shared" ca="1" si="66"/>
        <v/>
      </c>
      <c r="AH230" s="23" t="str">
        <f t="shared" ca="1" si="66"/>
        <v/>
      </c>
      <c r="AJ230" s="12" t="e">
        <f t="shared" si="69"/>
        <v>#N/A</v>
      </c>
      <c r="AK230" s="51" t="e">
        <f t="shared" si="70"/>
        <v>#N/A</v>
      </c>
      <c r="AL230" s="16" t="e">
        <f t="shared" si="71"/>
        <v>#N/A</v>
      </c>
      <c r="AM230" s="16" t="e">
        <f t="shared" si="72"/>
        <v>#N/A</v>
      </c>
      <c r="AN230" s="10" t="e">
        <f t="shared" ca="1" si="73"/>
        <v>#N/A</v>
      </c>
      <c r="AO230" s="10" t="e">
        <f t="shared" ca="1" si="74"/>
        <v>#N/A</v>
      </c>
      <c r="AP230" s="10" t="e">
        <f t="shared" si="75"/>
        <v>#N/A</v>
      </c>
      <c r="AQ230" s="10" t="e">
        <f t="shared" si="76"/>
        <v>#N/A</v>
      </c>
      <c r="AR230" s="10" t="e">
        <f t="shared" si="76"/>
        <v>#N/A</v>
      </c>
      <c r="BC230" s="29"/>
    </row>
    <row r="231" spans="2:55" x14ac:dyDescent="0.25">
      <c r="B231" s="41"/>
      <c r="C231" s="40"/>
      <c r="D231" s="63"/>
      <c r="E231" s="39"/>
      <c r="F231" s="60"/>
      <c r="G231" s="42" t="str">
        <f t="shared" si="82"/>
        <v/>
      </c>
      <c r="H231" s="45">
        <f t="shared" ca="1" si="77"/>
        <v>51</v>
      </c>
      <c r="I231" s="36">
        <f t="shared" ca="1" si="78"/>
        <v>0</v>
      </c>
      <c r="J231" s="36">
        <f t="shared" ca="1" si="79"/>
        <v>0</v>
      </c>
      <c r="L231" s="1">
        <f t="shared" ca="1" si="80"/>
        <v>0</v>
      </c>
      <c r="N231" s="21" t="str">
        <f t="shared" ca="1" si="81"/>
        <v/>
      </c>
      <c r="O231" s="22" t="str">
        <f t="shared" ca="1" si="81"/>
        <v/>
      </c>
      <c r="P231" s="22" t="str">
        <f t="shared" ca="1" si="81"/>
        <v/>
      </c>
      <c r="Q231" s="22" t="str">
        <f t="shared" ca="1" si="81"/>
        <v/>
      </c>
      <c r="R231" s="22" t="str">
        <f t="shared" ca="1" si="81"/>
        <v/>
      </c>
      <c r="S231" s="22" t="str">
        <f t="shared" ca="1" si="81"/>
        <v/>
      </c>
      <c r="T231" s="22" t="str">
        <f t="shared" ca="1" si="81"/>
        <v/>
      </c>
      <c r="U231" s="22" t="str">
        <f t="shared" ca="1" si="81"/>
        <v/>
      </c>
      <c r="V231" s="22" t="str">
        <f t="shared" ca="1" si="81"/>
        <v/>
      </c>
      <c r="W231" s="23" t="str">
        <f t="shared" ca="1" si="81"/>
        <v/>
      </c>
      <c r="Y231" s="21" t="str">
        <f t="shared" ca="1" si="67"/>
        <v/>
      </c>
      <c r="Z231" s="22" t="str">
        <f t="shared" ca="1" si="67"/>
        <v/>
      </c>
      <c r="AA231" s="22" t="str">
        <f t="shared" ca="1" si="67"/>
        <v/>
      </c>
      <c r="AB231" s="22" t="str">
        <f t="shared" ca="1" si="67"/>
        <v/>
      </c>
      <c r="AC231" s="22" t="str">
        <f t="shared" ca="1" si="67"/>
        <v/>
      </c>
      <c r="AD231" s="22" t="str">
        <f t="shared" ca="1" si="66"/>
        <v/>
      </c>
      <c r="AE231" s="22" t="str">
        <f t="shared" ca="1" si="66"/>
        <v/>
      </c>
      <c r="AF231" s="22" t="str">
        <f t="shared" ca="1" si="66"/>
        <v/>
      </c>
      <c r="AG231" s="22" t="str">
        <f t="shared" ca="1" si="66"/>
        <v/>
      </c>
      <c r="AH231" s="23" t="str">
        <f t="shared" ca="1" si="66"/>
        <v/>
      </c>
      <c r="AJ231" s="12" t="e">
        <f t="shared" si="69"/>
        <v>#N/A</v>
      </c>
      <c r="AK231" s="51" t="e">
        <f t="shared" si="70"/>
        <v>#N/A</v>
      </c>
      <c r="AL231" s="16" t="e">
        <f t="shared" si="71"/>
        <v>#N/A</v>
      </c>
      <c r="AM231" s="16" t="e">
        <f t="shared" si="72"/>
        <v>#N/A</v>
      </c>
      <c r="AN231" s="10" t="e">
        <f t="shared" ca="1" si="73"/>
        <v>#N/A</v>
      </c>
      <c r="AO231" s="10" t="e">
        <f t="shared" ca="1" si="74"/>
        <v>#N/A</v>
      </c>
      <c r="AP231" s="10" t="e">
        <f t="shared" si="75"/>
        <v>#N/A</v>
      </c>
      <c r="AQ231" s="10" t="e">
        <f t="shared" si="76"/>
        <v>#N/A</v>
      </c>
      <c r="AR231" s="10" t="e">
        <f t="shared" si="76"/>
        <v>#N/A</v>
      </c>
      <c r="BC231" s="29"/>
    </row>
    <row r="232" spans="2:55" x14ac:dyDescent="0.25">
      <c r="B232" s="41"/>
      <c r="C232" s="40"/>
      <c r="D232" s="63"/>
      <c r="E232" s="39"/>
      <c r="F232" s="60"/>
      <c r="G232" s="42" t="str">
        <f t="shared" si="82"/>
        <v/>
      </c>
      <c r="H232" s="45">
        <f t="shared" ca="1" si="77"/>
        <v>51</v>
      </c>
      <c r="I232" s="36">
        <f t="shared" ca="1" si="78"/>
        <v>0</v>
      </c>
      <c r="J232" s="36">
        <f t="shared" ca="1" si="79"/>
        <v>0</v>
      </c>
      <c r="L232" s="1">
        <f t="shared" ca="1" si="80"/>
        <v>0</v>
      </c>
      <c r="N232" s="21" t="str">
        <f t="shared" ca="1" si="81"/>
        <v/>
      </c>
      <c r="O232" s="22" t="str">
        <f t="shared" ca="1" si="81"/>
        <v/>
      </c>
      <c r="P232" s="22" t="str">
        <f t="shared" ca="1" si="81"/>
        <v/>
      </c>
      <c r="Q232" s="22" t="str">
        <f t="shared" ca="1" si="81"/>
        <v/>
      </c>
      <c r="R232" s="22" t="str">
        <f t="shared" ca="1" si="81"/>
        <v/>
      </c>
      <c r="S232" s="22" t="str">
        <f t="shared" ca="1" si="81"/>
        <v/>
      </c>
      <c r="T232" s="22" t="str">
        <f t="shared" ca="1" si="81"/>
        <v/>
      </c>
      <c r="U232" s="22" t="str">
        <f t="shared" ca="1" si="81"/>
        <v/>
      </c>
      <c r="V232" s="22" t="str">
        <f t="shared" ca="1" si="81"/>
        <v/>
      </c>
      <c r="W232" s="23" t="str">
        <f t="shared" ca="1" si="81"/>
        <v/>
      </c>
      <c r="Y232" s="21" t="str">
        <f t="shared" ca="1" si="67"/>
        <v/>
      </c>
      <c r="Z232" s="22" t="str">
        <f t="shared" ca="1" si="67"/>
        <v/>
      </c>
      <c r="AA232" s="22" t="str">
        <f t="shared" ca="1" si="67"/>
        <v/>
      </c>
      <c r="AB232" s="22" t="str">
        <f t="shared" ca="1" si="67"/>
        <v/>
      </c>
      <c r="AC232" s="22" t="str">
        <f t="shared" ca="1" si="67"/>
        <v/>
      </c>
      <c r="AD232" s="22" t="str">
        <f t="shared" ca="1" si="66"/>
        <v/>
      </c>
      <c r="AE232" s="22" t="str">
        <f t="shared" ca="1" si="66"/>
        <v/>
      </c>
      <c r="AF232" s="22" t="str">
        <f t="shared" ca="1" si="66"/>
        <v/>
      </c>
      <c r="AG232" s="22" t="str">
        <f t="shared" ca="1" si="66"/>
        <v/>
      </c>
      <c r="AH232" s="23" t="str">
        <f t="shared" ca="1" si="66"/>
        <v/>
      </c>
      <c r="AJ232" s="12" t="e">
        <f t="shared" si="69"/>
        <v>#N/A</v>
      </c>
      <c r="AK232" s="51" t="e">
        <f t="shared" si="70"/>
        <v>#N/A</v>
      </c>
      <c r="AL232" s="16" t="e">
        <f t="shared" si="71"/>
        <v>#N/A</v>
      </c>
      <c r="AM232" s="16" t="e">
        <f t="shared" si="72"/>
        <v>#N/A</v>
      </c>
      <c r="AN232" s="10" t="e">
        <f t="shared" ca="1" si="73"/>
        <v>#N/A</v>
      </c>
      <c r="AO232" s="10" t="e">
        <f t="shared" ca="1" si="74"/>
        <v>#N/A</v>
      </c>
      <c r="AP232" s="10" t="e">
        <f t="shared" si="75"/>
        <v>#N/A</v>
      </c>
      <c r="AQ232" s="10" t="e">
        <f t="shared" si="76"/>
        <v>#N/A</v>
      </c>
      <c r="AR232" s="10" t="e">
        <f t="shared" si="76"/>
        <v>#N/A</v>
      </c>
      <c r="BC232" s="29"/>
    </row>
    <row r="233" spans="2:55" x14ac:dyDescent="0.25">
      <c r="B233" s="41"/>
      <c r="C233" s="40"/>
      <c r="D233" s="63"/>
      <c r="E233" s="39"/>
      <c r="F233" s="60"/>
      <c r="G233" s="42" t="str">
        <f t="shared" si="82"/>
        <v/>
      </c>
      <c r="H233" s="45">
        <f t="shared" ca="1" si="77"/>
        <v>51</v>
      </c>
      <c r="I233" s="36">
        <f t="shared" ca="1" si="78"/>
        <v>0</v>
      </c>
      <c r="J233" s="36">
        <f t="shared" ca="1" si="79"/>
        <v>0</v>
      </c>
      <c r="L233" s="1">
        <f t="shared" ca="1" si="80"/>
        <v>0</v>
      </c>
      <c r="N233" s="21" t="str">
        <f t="shared" ca="1" si="81"/>
        <v/>
      </c>
      <c r="O233" s="22" t="str">
        <f t="shared" ca="1" si="81"/>
        <v/>
      </c>
      <c r="P233" s="22" t="str">
        <f t="shared" ca="1" si="81"/>
        <v/>
      </c>
      <c r="Q233" s="22" t="str">
        <f t="shared" ca="1" si="81"/>
        <v/>
      </c>
      <c r="R233" s="22" t="str">
        <f t="shared" ca="1" si="81"/>
        <v/>
      </c>
      <c r="S233" s="22" t="str">
        <f t="shared" ca="1" si="81"/>
        <v/>
      </c>
      <c r="T233" s="22" t="str">
        <f t="shared" ca="1" si="81"/>
        <v/>
      </c>
      <c r="U233" s="22" t="str">
        <f t="shared" ca="1" si="81"/>
        <v/>
      </c>
      <c r="V233" s="22" t="str">
        <f t="shared" ca="1" si="81"/>
        <v/>
      </c>
      <c r="W233" s="23" t="str">
        <f t="shared" ca="1" si="81"/>
        <v/>
      </c>
      <c r="Y233" s="21" t="str">
        <f t="shared" ca="1" si="67"/>
        <v/>
      </c>
      <c r="Z233" s="22" t="str">
        <f t="shared" ca="1" si="67"/>
        <v/>
      </c>
      <c r="AA233" s="22" t="str">
        <f t="shared" ca="1" si="67"/>
        <v/>
      </c>
      <c r="AB233" s="22" t="str">
        <f t="shared" ca="1" si="67"/>
        <v/>
      </c>
      <c r="AC233" s="22" t="str">
        <f t="shared" ca="1" si="67"/>
        <v/>
      </c>
      <c r="AD233" s="22" t="str">
        <f t="shared" ca="1" si="66"/>
        <v/>
      </c>
      <c r="AE233" s="22" t="str">
        <f t="shared" ca="1" si="66"/>
        <v/>
      </c>
      <c r="AF233" s="22" t="str">
        <f t="shared" ca="1" si="66"/>
        <v/>
      </c>
      <c r="AG233" s="22" t="str">
        <f t="shared" ca="1" si="66"/>
        <v/>
      </c>
      <c r="AH233" s="23" t="str">
        <f t="shared" ca="1" si="66"/>
        <v/>
      </c>
      <c r="AJ233" s="12" t="e">
        <f t="shared" si="69"/>
        <v>#N/A</v>
      </c>
      <c r="AK233" s="51" t="e">
        <f t="shared" si="70"/>
        <v>#N/A</v>
      </c>
      <c r="AL233" s="16" t="e">
        <f t="shared" si="71"/>
        <v>#N/A</v>
      </c>
      <c r="AM233" s="16" t="e">
        <f t="shared" si="72"/>
        <v>#N/A</v>
      </c>
      <c r="AN233" s="10" t="e">
        <f t="shared" ca="1" si="73"/>
        <v>#N/A</v>
      </c>
      <c r="AO233" s="10" t="e">
        <f t="shared" ca="1" si="74"/>
        <v>#N/A</v>
      </c>
      <c r="AP233" s="10" t="e">
        <f t="shared" si="75"/>
        <v>#N/A</v>
      </c>
      <c r="AQ233" s="10" t="e">
        <f t="shared" si="76"/>
        <v>#N/A</v>
      </c>
      <c r="AR233" s="10" t="e">
        <f t="shared" si="76"/>
        <v>#N/A</v>
      </c>
      <c r="BC233" s="29"/>
    </row>
    <row r="234" spans="2:55" x14ac:dyDescent="0.25">
      <c r="B234" s="41"/>
      <c r="C234" s="40"/>
      <c r="D234" s="63"/>
      <c r="E234" s="39"/>
      <c r="F234" s="60"/>
      <c r="G234" s="42" t="str">
        <f t="shared" si="82"/>
        <v/>
      </c>
      <c r="H234" s="45">
        <f t="shared" ca="1" si="77"/>
        <v>51</v>
      </c>
      <c r="I234" s="36">
        <f t="shared" ca="1" si="78"/>
        <v>0</v>
      </c>
      <c r="J234" s="36">
        <f t="shared" ca="1" si="79"/>
        <v>0</v>
      </c>
      <c r="L234" s="1">
        <f t="shared" ca="1" si="80"/>
        <v>0</v>
      </c>
      <c r="N234" s="21" t="str">
        <f t="shared" ca="1" si="81"/>
        <v/>
      </c>
      <c r="O234" s="22" t="str">
        <f t="shared" ca="1" si="81"/>
        <v/>
      </c>
      <c r="P234" s="22" t="str">
        <f t="shared" ca="1" si="81"/>
        <v/>
      </c>
      <c r="Q234" s="22" t="str">
        <f t="shared" ca="1" si="81"/>
        <v/>
      </c>
      <c r="R234" s="22" t="str">
        <f t="shared" ca="1" si="81"/>
        <v/>
      </c>
      <c r="S234" s="22" t="str">
        <f t="shared" ca="1" si="81"/>
        <v/>
      </c>
      <c r="T234" s="22" t="str">
        <f t="shared" ca="1" si="81"/>
        <v/>
      </c>
      <c r="U234" s="22" t="str">
        <f t="shared" ca="1" si="81"/>
        <v/>
      </c>
      <c r="V234" s="22" t="str">
        <f t="shared" ca="1" si="81"/>
        <v/>
      </c>
      <c r="W234" s="23" t="str">
        <f t="shared" ca="1" si="81"/>
        <v/>
      </c>
      <c r="Y234" s="21" t="str">
        <f t="shared" ca="1" si="67"/>
        <v/>
      </c>
      <c r="Z234" s="22" t="str">
        <f t="shared" ca="1" si="67"/>
        <v/>
      </c>
      <c r="AA234" s="22" t="str">
        <f t="shared" ca="1" si="67"/>
        <v/>
      </c>
      <c r="AB234" s="22" t="str">
        <f t="shared" ca="1" si="67"/>
        <v/>
      </c>
      <c r="AC234" s="22" t="str">
        <f t="shared" ca="1" si="67"/>
        <v/>
      </c>
      <c r="AD234" s="22" t="str">
        <f t="shared" ca="1" si="66"/>
        <v/>
      </c>
      <c r="AE234" s="22" t="str">
        <f t="shared" ca="1" si="66"/>
        <v/>
      </c>
      <c r="AF234" s="22" t="str">
        <f t="shared" ca="1" si="66"/>
        <v/>
      </c>
      <c r="AG234" s="22" t="str">
        <f t="shared" ca="1" si="66"/>
        <v/>
      </c>
      <c r="AH234" s="23" t="str">
        <f t="shared" ca="1" si="66"/>
        <v/>
      </c>
      <c r="AJ234" s="12" t="e">
        <f t="shared" si="69"/>
        <v>#N/A</v>
      </c>
      <c r="AK234" s="51" t="e">
        <f t="shared" si="70"/>
        <v>#N/A</v>
      </c>
      <c r="AL234" s="16" t="e">
        <f t="shared" si="71"/>
        <v>#N/A</v>
      </c>
      <c r="AM234" s="16" t="e">
        <f t="shared" si="72"/>
        <v>#N/A</v>
      </c>
      <c r="AN234" s="10" t="e">
        <f t="shared" ca="1" si="73"/>
        <v>#N/A</v>
      </c>
      <c r="AO234" s="10" t="e">
        <f t="shared" ca="1" si="74"/>
        <v>#N/A</v>
      </c>
      <c r="AP234" s="10" t="e">
        <f t="shared" si="75"/>
        <v>#N/A</v>
      </c>
      <c r="AQ234" s="10" t="e">
        <f t="shared" si="76"/>
        <v>#N/A</v>
      </c>
      <c r="AR234" s="10" t="e">
        <f t="shared" si="76"/>
        <v>#N/A</v>
      </c>
      <c r="BC234" s="29"/>
    </row>
    <row r="235" spans="2:55" x14ac:dyDescent="0.25">
      <c r="B235" s="41"/>
      <c r="C235" s="40"/>
      <c r="D235" s="63"/>
      <c r="E235" s="39"/>
      <c r="F235" s="60"/>
      <c r="G235" s="42" t="str">
        <f t="shared" si="82"/>
        <v/>
      </c>
      <c r="H235" s="45">
        <f t="shared" ca="1" si="77"/>
        <v>51</v>
      </c>
      <c r="I235" s="36">
        <f t="shared" ca="1" si="78"/>
        <v>0</v>
      </c>
      <c r="J235" s="36">
        <f t="shared" ca="1" si="79"/>
        <v>0</v>
      </c>
      <c r="L235" s="1">
        <f t="shared" ca="1" si="80"/>
        <v>0</v>
      </c>
      <c r="N235" s="21" t="str">
        <f t="shared" ref="N235:W250" ca="1" si="83">IF(ISNUMBER($C235),IF($G235&lt;=$C$9,IF($L235=N$25,$C235,""),IF(COUNT(INDIRECT(ADDRESS(ROW(N$26),COLUMN())&amp;":"&amp;ADDRESS(ROW()-1,COLUMN())))&gt;$C$13,"",IF($L235=N$25,$C235,""))),"")</f>
        <v/>
      </c>
      <c r="O235" s="22" t="str">
        <f t="shared" ca="1" si="83"/>
        <v/>
      </c>
      <c r="P235" s="22" t="str">
        <f t="shared" ca="1" si="83"/>
        <v/>
      </c>
      <c r="Q235" s="22" t="str">
        <f t="shared" ca="1" si="83"/>
        <v/>
      </c>
      <c r="R235" s="22" t="str">
        <f t="shared" ca="1" si="83"/>
        <v/>
      </c>
      <c r="S235" s="22" t="str">
        <f t="shared" ca="1" si="83"/>
        <v/>
      </c>
      <c r="T235" s="22" t="str">
        <f t="shared" ca="1" si="83"/>
        <v/>
      </c>
      <c r="U235" s="22" t="str">
        <f t="shared" ca="1" si="83"/>
        <v/>
      </c>
      <c r="V235" s="22" t="str">
        <f t="shared" ca="1" si="83"/>
        <v/>
      </c>
      <c r="W235" s="23" t="str">
        <f t="shared" ca="1" si="83"/>
        <v/>
      </c>
      <c r="Y235" s="21" t="str">
        <f t="shared" ca="1" si="67"/>
        <v/>
      </c>
      <c r="Z235" s="22" t="str">
        <f t="shared" ca="1" si="67"/>
        <v/>
      </c>
      <c r="AA235" s="22" t="str">
        <f t="shared" ca="1" si="67"/>
        <v/>
      </c>
      <c r="AB235" s="22" t="str">
        <f t="shared" ca="1" si="67"/>
        <v/>
      </c>
      <c r="AC235" s="22" t="str">
        <f t="shared" ca="1" si="67"/>
        <v/>
      </c>
      <c r="AD235" s="22" t="str">
        <f t="shared" ca="1" si="66"/>
        <v/>
      </c>
      <c r="AE235" s="22" t="str">
        <f t="shared" ca="1" si="66"/>
        <v/>
      </c>
      <c r="AF235" s="22" t="str">
        <f t="shared" ca="1" si="66"/>
        <v/>
      </c>
      <c r="AG235" s="22" t="str">
        <f t="shared" ca="1" si="66"/>
        <v/>
      </c>
      <c r="AH235" s="23" t="str">
        <f t="shared" ca="1" si="66"/>
        <v/>
      </c>
      <c r="AJ235" s="12" t="e">
        <f t="shared" si="69"/>
        <v>#N/A</v>
      </c>
      <c r="AK235" s="51" t="e">
        <f t="shared" si="70"/>
        <v>#N/A</v>
      </c>
      <c r="AL235" s="16" t="e">
        <f t="shared" si="71"/>
        <v>#N/A</v>
      </c>
      <c r="AM235" s="16" t="e">
        <f t="shared" si="72"/>
        <v>#N/A</v>
      </c>
      <c r="AN235" s="10" t="e">
        <f t="shared" ca="1" si="73"/>
        <v>#N/A</v>
      </c>
      <c r="AO235" s="10" t="e">
        <f t="shared" ca="1" si="74"/>
        <v>#N/A</v>
      </c>
      <c r="AP235" s="10" t="e">
        <f t="shared" si="75"/>
        <v>#N/A</v>
      </c>
      <c r="AQ235" s="10" t="e">
        <f t="shared" si="76"/>
        <v>#N/A</v>
      </c>
      <c r="AR235" s="10" t="e">
        <f t="shared" si="76"/>
        <v>#N/A</v>
      </c>
      <c r="BC235" s="29"/>
    </row>
    <row r="236" spans="2:55" x14ac:dyDescent="0.25">
      <c r="B236" s="41"/>
      <c r="C236" s="40"/>
      <c r="D236" s="63"/>
      <c r="E236" s="39"/>
      <c r="F236" s="60"/>
      <c r="G236" s="42" t="str">
        <f t="shared" si="82"/>
        <v/>
      </c>
      <c r="H236" s="45">
        <f t="shared" ca="1" si="77"/>
        <v>51</v>
      </c>
      <c r="I236" s="36">
        <f t="shared" ca="1" si="78"/>
        <v>0</v>
      </c>
      <c r="J236" s="36">
        <f t="shared" ca="1" si="79"/>
        <v>0</v>
      </c>
      <c r="L236" s="1">
        <f t="shared" ca="1" si="80"/>
        <v>0</v>
      </c>
      <c r="N236" s="21" t="str">
        <f t="shared" ca="1" si="83"/>
        <v/>
      </c>
      <c r="O236" s="22" t="str">
        <f t="shared" ca="1" si="83"/>
        <v/>
      </c>
      <c r="P236" s="22" t="str">
        <f t="shared" ca="1" si="83"/>
        <v/>
      </c>
      <c r="Q236" s="22" t="str">
        <f t="shared" ca="1" si="83"/>
        <v/>
      </c>
      <c r="R236" s="22" t="str">
        <f t="shared" ca="1" si="83"/>
        <v/>
      </c>
      <c r="S236" s="22" t="str">
        <f t="shared" ca="1" si="83"/>
        <v/>
      </c>
      <c r="T236" s="22" t="str">
        <f t="shared" ca="1" si="83"/>
        <v/>
      </c>
      <c r="U236" s="22" t="str">
        <f t="shared" ca="1" si="83"/>
        <v/>
      </c>
      <c r="V236" s="22" t="str">
        <f t="shared" ca="1" si="83"/>
        <v/>
      </c>
      <c r="W236" s="23" t="str">
        <f t="shared" ca="1" si="83"/>
        <v/>
      </c>
      <c r="Y236" s="21" t="str">
        <f t="shared" ca="1" si="67"/>
        <v/>
      </c>
      <c r="Z236" s="22" t="str">
        <f t="shared" ca="1" si="67"/>
        <v/>
      </c>
      <c r="AA236" s="22" t="str">
        <f t="shared" ca="1" si="67"/>
        <v/>
      </c>
      <c r="AB236" s="22" t="str">
        <f t="shared" ca="1" si="67"/>
        <v/>
      </c>
      <c r="AC236" s="22" t="str">
        <f t="shared" ca="1" si="67"/>
        <v/>
      </c>
      <c r="AD236" s="22" t="str">
        <f t="shared" ca="1" si="66"/>
        <v/>
      </c>
      <c r="AE236" s="22" t="str">
        <f t="shared" ca="1" si="66"/>
        <v/>
      </c>
      <c r="AF236" s="22" t="str">
        <f t="shared" ca="1" si="66"/>
        <v/>
      </c>
      <c r="AG236" s="22" t="str">
        <f t="shared" ca="1" si="66"/>
        <v/>
      </c>
      <c r="AH236" s="23" t="str">
        <f t="shared" ca="1" si="66"/>
        <v/>
      </c>
      <c r="AJ236" s="12" t="e">
        <f t="shared" si="69"/>
        <v>#N/A</v>
      </c>
      <c r="AK236" s="51" t="e">
        <f t="shared" si="70"/>
        <v>#N/A</v>
      </c>
      <c r="AL236" s="16" t="e">
        <f t="shared" si="71"/>
        <v>#N/A</v>
      </c>
      <c r="AM236" s="16" t="e">
        <f t="shared" si="72"/>
        <v>#N/A</v>
      </c>
      <c r="AN236" s="10" t="e">
        <f t="shared" ca="1" si="73"/>
        <v>#N/A</v>
      </c>
      <c r="AO236" s="10" t="e">
        <f t="shared" ca="1" si="74"/>
        <v>#N/A</v>
      </c>
      <c r="AP236" s="10" t="e">
        <f t="shared" si="75"/>
        <v>#N/A</v>
      </c>
      <c r="AQ236" s="10" t="e">
        <f t="shared" si="76"/>
        <v>#N/A</v>
      </c>
      <c r="AR236" s="10" t="e">
        <f t="shared" si="76"/>
        <v>#N/A</v>
      </c>
      <c r="BC236" s="29"/>
    </row>
    <row r="237" spans="2:55" x14ac:dyDescent="0.25">
      <c r="B237" s="41"/>
      <c r="C237" s="40"/>
      <c r="D237" s="63"/>
      <c r="E237" s="39"/>
      <c r="F237" s="60"/>
      <c r="G237" s="42" t="str">
        <f t="shared" si="82"/>
        <v/>
      </c>
      <c r="H237" s="45">
        <f t="shared" ca="1" si="77"/>
        <v>51</v>
      </c>
      <c r="I237" s="36">
        <f t="shared" ca="1" si="78"/>
        <v>0</v>
      </c>
      <c r="J237" s="36">
        <f t="shared" ca="1" si="79"/>
        <v>0</v>
      </c>
      <c r="L237" s="1">
        <f t="shared" ca="1" si="80"/>
        <v>0</v>
      </c>
      <c r="N237" s="21" t="str">
        <f t="shared" ca="1" si="83"/>
        <v/>
      </c>
      <c r="O237" s="22" t="str">
        <f t="shared" ca="1" si="83"/>
        <v/>
      </c>
      <c r="P237" s="22" t="str">
        <f t="shared" ca="1" si="83"/>
        <v/>
      </c>
      <c r="Q237" s="22" t="str">
        <f t="shared" ca="1" si="83"/>
        <v/>
      </c>
      <c r="R237" s="22" t="str">
        <f t="shared" ca="1" si="83"/>
        <v/>
      </c>
      <c r="S237" s="22" t="str">
        <f t="shared" ca="1" si="83"/>
        <v/>
      </c>
      <c r="T237" s="22" t="str">
        <f t="shared" ca="1" si="83"/>
        <v/>
      </c>
      <c r="U237" s="22" t="str">
        <f t="shared" ca="1" si="83"/>
        <v/>
      </c>
      <c r="V237" s="22" t="str">
        <f t="shared" ca="1" si="83"/>
        <v/>
      </c>
      <c r="W237" s="23" t="str">
        <f t="shared" ca="1" si="83"/>
        <v/>
      </c>
      <c r="Y237" s="21" t="str">
        <f t="shared" ca="1" si="67"/>
        <v/>
      </c>
      <c r="Z237" s="22" t="str">
        <f t="shared" ca="1" si="67"/>
        <v/>
      </c>
      <c r="AA237" s="22" t="str">
        <f t="shared" ca="1" si="67"/>
        <v/>
      </c>
      <c r="AB237" s="22" t="str">
        <f t="shared" ca="1" si="67"/>
        <v/>
      </c>
      <c r="AC237" s="22" t="str">
        <f t="shared" ca="1" si="67"/>
        <v/>
      </c>
      <c r="AD237" s="22" t="str">
        <f t="shared" ca="1" si="66"/>
        <v/>
      </c>
      <c r="AE237" s="22" t="str">
        <f t="shared" ca="1" si="66"/>
        <v/>
      </c>
      <c r="AF237" s="22" t="str">
        <f t="shared" ca="1" si="66"/>
        <v/>
      </c>
      <c r="AG237" s="22" t="str">
        <f t="shared" ca="1" si="66"/>
        <v/>
      </c>
      <c r="AH237" s="23" t="str">
        <f t="shared" ca="1" si="66"/>
        <v/>
      </c>
      <c r="AJ237" s="12" t="e">
        <f t="shared" si="69"/>
        <v>#N/A</v>
      </c>
      <c r="AK237" s="51" t="e">
        <f t="shared" si="70"/>
        <v>#N/A</v>
      </c>
      <c r="AL237" s="16" t="e">
        <f t="shared" si="71"/>
        <v>#N/A</v>
      </c>
      <c r="AM237" s="16" t="e">
        <f t="shared" si="72"/>
        <v>#N/A</v>
      </c>
      <c r="AN237" s="10" t="e">
        <f t="shared" ca="1" si="73"/>
        <v>#N/A</v>
      </c>
      <c r="AO237" s="10" t="e">
        <f t="shared" ca="1" si="74"/>
        <v>#N/A</v>
      </c>
      <c r="AP237" s="10" t="e">
        <f t="shared" si="75"/>
        <v>#N/A</v>
      </c>
      <c r="AQ237" s="10" t="e">
        <f t="shared" si="76"/>
        <v>#N/A</v>
      </c>
      <c r="AR237" s="10" t="e">
        <f t="shared" si="76"/>
        <v>#N/A</v>
      </c>
      <c r="BC237" s="29"/>
    </row>
    <row r="238" spans="2:55" x14ac:dyDescent="0.25">
      <c r="B238" s="41"/>
      <c r="C238" s="40"/>
      <c r="D238" s="63"/>
      <c r="E238" s="39"/>
      <c r="F238" s="60"/>
      <c r="G238" s="42" t="str">
        <f t="shared" si="82"/>
        <v/>
      </c>
      <c r="H238" s="45">
        <f t="shared" ca="1" si="77"/>
        <v>51</v>
      </c>
      <c r="I238" s="36">
        <f t="shared" ca="1" si="78"/>
        <v>0</v>
      </c>
      <c r="J238" s="36">
        <f t="shared" ca="1" si="79"/>
        <v>0</v>
      </c>
      <c r="L238" s="1">
        <f t="shared" ca="1" si="80"/>
        <v>0</v>
      </c>
      <c r="N238" s="21" t="str">
        <f t="shared" ca="1" si="83"/>
        <v/>
      </c>
      <c r="O238" s="22" t="str">
        <f t="shared" ca="1" si="83"/>
        <v/>
      </c>
      <c r="P238" s="22" t="str">
        <f t="shared" ca="1" si="83"/>
        <v/>
      </c>
      <c r="Q238" s="22" t="str">
        <f t="shared" ca="1" si="83"/>
        <v/>
      </c>
      <c r="R238" s="22" t="str">
        <f t="shared" ca="1" si="83"/>
        <v/>
      </c>
      <c r="S238" s="22" t="str">
        <f t="shared" ca="1" si="83"/>
        <v/>
      </c>
      <c r="T238" s="22" t="str">
        <f t="shared" ca="1" si="83"/>
        <v/>
      </c>
      <c r="U238" s="22" t="str">
        <f t="shared" ca="1" si="83"/>
        <v/>
      </c>
      <c r="V238" s="22" t="str">
        <f t="shared" ca="1" si="83"/>
        <v/>
      </c>
      <c r="W238" s="23" t="str">
        <f t="shared" ca="1" si="83"/>
        <v/>
      </c>
      <c r="Y238" s="21" t="str">
        <f t="shared" ca="1" si="67"/>
        <v/>
      </c>
      <c r="Z238" s="22" t="str">
        <f t="shared" ca="1" si="67"/>
        <v/>
      </c>
      <c r="AA238" s="22" t="str">
        <f t="shared" ca="1" si="67"/>
        <v/>
      </c>
      <c r="AB238" s="22" t="str">
        <f t="shared" ca="1" si="67"/>
        <v/>
      </c>
      <c r="AC238" s="22" t="str">
        <f t="shared" ca="1" si="67"/>
        <v/>
      </c>
      <c r="AD238" s="22" t="str">
        <f t="shared" ca="1" si="66"/>
        <v/>
      </c>
      <c r="AE238" s="22" t="str">
        <f t="shared" ca="1" si="66"/>
        <v/>
      </c>
      <c r="AF238" s="22" t="str">
        <f t="shared" ca="1" si="66"/>
        <v/>
      </c>
      <c r="AG238" s="22" t="str">
        <f t="shared" ca="1" si="66"/>
        <v/>
      </c>
      <c r="AH238" s="23" t="str">
        <f t="shared" ca="1" si="66"/>
        <v/>
      </c>
      <c r="AJ238" s="12" t="e">
        <f t="shared" si="69"/>
        <v>#N/A</v>
      </c>
      <c r="AK238" s="51" t="e">
        <f t="shared" si="70"/>
        <v>#N/A</v>
      </c>
      <c r="AL238" s="16" t="e">
        <f t="shared" si="71"/>
        <v>#N/A</v>
      </c>
      <c r="AM238" s="16" t="e">
        <f t="shared" si="72"/>
        <v>#N/A</v>
      </c>
      <c r="AN238" s="10" t="e">
        <f t="shared" ca="1" si="73"/>
        <v>#N/A</v>
      </c>
      <c r="AO238" s="10" t="e">
        <f t="shared" ca="1" si="74"/>
        <v>#N/A</v>
      </c>
      <c r="AP238" s="10" t="e">
        <f t="shared" si="75"/>
        <v>#N/A</v>
      </c>
      <c r="AQ238" s="10" t="e">
        <f t="shared" si="76"/>
        <v>#N/A</v>
      </c>
      <c r="AR238" s="10" t="e">
        <f t="shared" si="76"/>
        <v>#N/A</v>
      </c>
      <c r="BC238" s="29"/>
    </row>
    <row r="239" spans="2:55" x14ac:dyDescent="0.25">
      <c r="B239" s="41"/>
      <c r="C239" s="40"/>
      <c r="D239" s="63"/>
      <c r="E239" s="39"/>
      <c r="F239" s="60"/>
      <c r="G239" s="42" t="str">
        <f t="shared" si="82"/>
        <v/>
      </c>
      <c r="H239" s="45">
        <f t="shared" ca="1" si="77"/>
        <v>51</v>
      </c>
      <c r="I239" s="36">
        <f t="shared" ca="1" si="78"/>
        <v>0</v>
      </c>
      <c r="J239" s="36">
        <f t="shared" ca="1" si="79"/>
        <v>0</v>
      </c>
      <c r="L239" s="1">
        <f t="shared" ca="1" si="80"/>
        <v>0</v>
      </c>
      <c r="N239" s="21" t="str">
        <f t="shared" ca="1" si="83"/>
        <v/>
      </c>
      <c r="O239" s="22" t="str">
        <f t="shared" ca="1" si="83"/>
        <v/>
      </c>
      <c r="P239" s="22" t="str">
        <f t="shared" ca="1" si="83"/>
        <v/>
      </c>
      <c r="Q239" s="22" t="str">
        <f t="shared" ca="1" si="83"/>
        <v/>
      </c>
      <c r="R239" s="22" t="str">
        <f t="shared" ca="1" si="83"/>
        <v/>
      </c>
      <c r="S239" s="22" t="str">
        <f t="shared" ca="1" si="83"/>
        <v/>
      </c>
      <c r="T239" s="22" t="str">
        <f t="shared" ca="1" si="83"/>
        <v/>
      </c>
      <c r="U239" s="22" t="str">
        <f t="shared" ca="1" si="83"/>
        <v/>
      </c>
      <c r="V239" s="22" t="str">
        <f t="shared" ca="1" si="83"/>
        <v/>
      </c>
      <c r="W239" s="23" t="str">
        <f t="shared" ca="1" si="83"/>
        <v/>
      </c>
      <c r="Y239" s="21" t="str">
        <f t="shared" ca="1" si="67"/>
        <v/>
      </c>
      <c r="Z239" s="22" t="str">
        <f t="shared" ca="1" si="67"/>
        <v/>
      </c>
      <c r="AA239" s="22" t="str">
        <f t="shared" ca="1" si="67"/>
        <v/>
      </c>
      <c r="AB239" s="22" t="str">
        <f t="shared" ca="1" si="67"/>
        <v/>
      </c>
      <c r="AC239" s="22" t="str">
        <f t="shared" ca="1" si="67"/>
        <v/>
      </c>
      <c r="AD239" s="22" t="str">
        <f t="shared" ca="1" si="66"/>
        <v/>
      </c>
      <c r="AE239" s="22" t="str">
        <f t="shared" ca="1" si="66"/>
        <v/>
      </c>
      <c r="AF239" s="22" t="str">
        <f t="shared" ca="1" si="66"/>
        <v/>
      </c>
      <c r="AG239" s="22" t="str">
        <f t="shared" ca="1" si="66"/>
        <v/>
      </c>
      <c r="AH239" s="23" t="str">
        <f t="shared" ca="1" si="66"/>
        <v/>
      </c>
      <c r="AJ239" s="12" t="e">
        <f t="shared" si="69"/>
        <v>#N/A</v>
      </c>
      <c r="AK239" s="51" t="e">
        <f t="shared" si="70"/>
        <v>#N/A</v>
      </c>
      <c r="AL239" s="16" t="e">
        <f t="shared" si="71"/>
        <v>#N/A</v>
      </c>
      <c r="AM239" s="16" t="e">
        <f t="shared" si="72"/>
        <v>#N/A</v>
      </c>
      <c r="AN239" s="10" t="e">
        <f t="shared" ca="1" si="73"/>
        <v>#N/A</v>
      </c>
      <c r="AO239" s="10" t="e">
        <f t="shared" ca="1" si="74"/>
        <v>#N/A</v>
      </c>
      <c r="AP239" s="10" t="e">
        <f t="shared" si="75"/>
        <v>#N/A</v>
      </c>
      <c r="AQ239" s="10" t="e">
        <f t="shared" si="76"/>
        <v>#N/A</v>
      </c>
      <c r="AR239" s="10" t="e">
        <f t="shared" si="76"/>
        <v>#N/A</v>
      </c>
      <c r="BC239" s="29"/>
    </row>
    <row r="240" spans="2:55" x14ac:dyDescent="0.25">
      <c r="B240" s="41"/>
      <c r="C240" s="40"/>
      <c r="D240" s="63"/>
      <c r="E240" s="39"/>
      <c r="F240" s="60"/>
      <c r="G240" s="42" t="str">
        <f t="shared" si="82"/>
        <v/>
      </c>
      <c r="H240" s="45">
        <f t="shared" ca="1" si="77"/>
        <v>51</v>
      </c>
      <c r="I240" s="36">
        <f t="shared" ca="1" si="78"/>
        <v>0</v>
      </c>
      <c r="J240" s="36">
        <f t="shared" ca="1" si="79"/>
        <v>0</v>
      </c>
      <c r="L240" s="1">
        <f t="shared" ca="1" si="80"/>
        <v>0</v>
      </c>
      <c r="N240" s="21" t="str">
        <f t="shared" ca="1" si="83"/>
        <v/>
      </c>
      <c r="O240" s="22" t="str">
        <f t="shared" ca="1" si="83"/>
        <v/>
      </c>
      <c r="P240" s="22" t="str">
        <f t="shared" ca="1" si="83"/>
        <v/>
      </c>
      <c r="Q240" s="22" t="str">
        <f t="shared" ca="1" si="83"/>
        <v/>
      </c>
      <c r="R240" s="22" t="str">
        <f t="shared" ca="1" si="83"/>
        <v/>
      </c>
      <c r="S240" s="22" t="str">
        <f t="shared" ca="1" si="83"/>
        <v/>
      </c>
      <c r="T240" s="22" t="str">
        <f t="shared" ca="1" si="83"/>
        <v/>
      </c>
      <c r="U240" s="22" t="str">
        <f t="shared" ca="1" si="83"/>
        <v/>
      </c>
      <c r="V240" s="22" t="str">
        <f t="shared" ca="1" si="83"/>
        <v/>
      </c>
      <c r="W240" s="23" t="str">
        <f t="shared" ca="1" si="83"/>
        <v/>
      </c>
      <c r="Y240" s="21" t="str">
        <f t="shared" ca="1" si="67"/>
        <v/>
      </c>
      <c r="Z240" s="22" t="str">
        <f t="shared" ca="1" si="67"/>
        <v/>
      </c>
      <c r="AA240" s="22" t="str">
        <f t="shared" ca="1" si="67"/>
        <v/>
      </c>
      <c r="AB240" s="22" t="str">
        <f t="shared" ca="1" si="67"/>
        <v/>
      </c>
      <c r="AC240" s="22" t="str">
        <f t="shared" ca="1" si="67"/>
        <v/>
      </c>
      <c r="AD240" s="22" t="str">
        <f t="shared" ca="1" si="66"/>
        <v/>
      </c>
      <c r="AE240" s="22" t="str">
        <f t="shared" ca="1" si="66"/>
        <v/>
      </c>
      <c r="AF240" s="22" t="str">
        <f t="shared" ca="1" si="66"/>
        <v/>
      </c>
      <c r="AG240" s="22" t="str">
        <f t="shared" ca="1" si="66"/>
        <v/>
      </c>
      <c r="AH240" s="23" t="str">
        <f t="shared" ca="1" si="66"/>
        <v/>
      </c>
      <c r="AJ240" s="12" t="e">
        <f t="shared" si="69"/>
        <v>#N/A</v>
      </c>
      <c r="AK240" s="51" t="e">
        <f t="shared" si="70"/>
        <v>#N/A</v>
      </c>
      <c r="AL240" s="16" t="e">
        <f t="shared" si="71"/>
        <v>#N/A</v>
      </c>
      <c r="AM240" s="16" t="e">
        <f t="shared" si="72"/>
        <v>#N/A</v>
      </c>
      <c r="AN240" s="10" t="e">
        <f t="shared" ca="1" si="73"/>
        <v>#N/A</v>
      </c>
      <c r="AO240" s="10" t="e">
        <f t="shared" ca="1" si="74"/>
        <v>#N/A</v>
      </c>
      <c r="AP240" s="10" t="e">
        <f t="shared" si="75"/>
        <v>#N/A</v>
      </c>
      <c r="AQ240" s="10" t="e">
        <f t="shared" si="76"/>
        <v>#N/A</v>
      </c>
      <c r="AR240" s="10" t="e">
        <f t="shared" si="76"/>
        <v>#N/A</v>
      </c>
      <c r="BC240" s="29"/>
    </row>
    <row r="241" spans="2:55" x14ac:dyDescent="0.25">
      <c r="B241" s="41"/>
      <c r="C241" s="40"/>
      <c r="D241" s="63"/>
      <c r="E241" s="39"/>
      <c r="F241" s="60"/>
      <c r="G241" s="42" t="str">
        <f t="shared" si="82"/>
        <v/>
      </c>
      <c r="H241" s="45">
        <f t="shared" ca="1" si="77"/>
        <v>51</v>
      </c>
      <c r="I241" s="36">
        <f t="shared" ca="1" si="78"/>
        <v>0</v>
      </c>
      <c r="J241" s="36">
        <f t="shared" ca="1" si="79"/>
        <v>0</v>
      </c>
      <c r="L241" s="1">
        <f t="shared" ca="1" si="80"/>
        <v>0</v>
      </c>
      <c r="N241" s="21" t="str">
        <f t="shared" ca="1" si="83"/>
        <v/>
      </c>
      <c r="O241" s="22" t="str">
        <f t="shared" ca="1" si="83"/>
        <v/>
      </c>
      <c r="P241" s="22" t="str">
        <f t="shared" ca="1" si="83"/>
        <v/>
      </c>
      <c r="Q241" s="22" t="str">
        <f t="shared" ca="1" si="83"/>
        <v/>
      </c>
      <c r="R241" s="22" t="str">
        <f t="shared" ca="1" si="83"/>
        <v/>
      </c>
      <c r="S241" s="22" t="str">
        <f t="shared" ca="1" si="83"/>
        <v/>
      </c>
      <c r="T241" s="22" t="str">
        <f t="shared" ca="1" si="83"/>
        <v/>
      </c>
      <c r="U241" s="22" t="str">
        <f t="shared" ca="1" si="83"/>
        <v/>
      </c>
      <c r="V241" s="22" t="str">
        <f t="shared" ca="1" si="83"/>
        <v/>
      </c>
      <c r="W241" s="23" t="str">
        <f t="shared" ca="1" si="83"/>
        <v/>
      </c>
      <c r="Y241" s="21" t="str">
        <f t="shared" ca="1" si="67"/>
        <v/>
      </c>
      <c r="Z241" s="22" t="str">
        <f t="shared" ca="1" si="67"/>
        <v/>
      </c>
      <c r="AA241" s="22" t="str">
        <f t="shared" ca="1" si="67"/>
        <v/>
      </c>
      <c r="AB241" s="22" t="str">
        <f t="shared" ca="1" si="67"/>
        <v/>
      </c>
      <c r="AC241" s="22" t="str">
        <f t="shared" ca="1" si="67"/>
        <v/>
      </c>
      <c r="AD241" s="22" t="str">
        <f t="shared" ca="1" si="66"/>
        <v/>
      </c>
      <c r="AE241" s="22" t="str">
        <f t="shared" ca="1" si="66"/>
        <v/>
      </c>
      <c r="AF241" s="22" t="str">
        <f t="shared" ca="1" si="66"/>
        <v/>
      </c>
      <c r="AG241" s="22" t="str">
        <f t="shared" ca="1" si="66"/>
        <v/>
      </c>
      <c r="AH241" s="23" t="str">
        <f t="shared" ca="1" si="66"/>
        <v/>
      </c>
      <c r="AJ241" s="12" t="e">
        <f t="shared" si="69"/>
        <v>#N/A</v>
      </c>
      <c r="AK241" s="51" t="e">
        <f t="shared" si="70"/>
        <v>#N/A</v>
      </c>
      <c r="AL241" s="16" t="e">
        <f t="shared" si="71"/>
        <v>#N/A</v>
      </c>
      <c r="AM241" s="16" t="e">
        <f t="shared" si="72"/>
        <v>#N/A</v>
      </c>
      <c r="AN241" s="10" t="e">
        <f t="shared" ca="1" si="73"/>
        <v>#N/A</v>
      </c>
      <c r="AO241" s="10" t="e">
        <f t="shared" ca="1" si="74"/>
        <v>#N/A</v>
      </c>
      <c r="AP241" s="10" t="e">
        <f t="shared" si="75"/>
        <v>#N/A</v>
      </c>
      <c r="AQ241" s="10" t="e">
        <f t="shared" si="76"/>
        <v>#N/A</v>
      </c>
      <c r="AR241" s="10" t="e">
        <f t="shared" si="76"/>
        <v>#N/A</v>
      </c>
      <c r="BC241" s="29"/>
    </row>
    <row r="242" spans="2:55" x14ac:dyDescent="0.25">
      <c r="B242" s="41"/>
      <c r="C242" s="40"/>
      <c r="D242" s="63"/>
      <c r="E242" s="39"/>
      <c r="F242" s="60"/>
      <c r="G242" s="42" t="str">
        <f t="shared" si="82"/>
        <v/>
      </c>
      <c r="H242" s="45">
        <f t="shared" ca="1" si="77"/>
        <v>51</v>
      </c>
      <c r="I242" s="36">
        <f t="shared" ca="1" si="78"/>
        <v>0</v>
      </c>
      <c r="J242" s="36">
        <f t="shared" ca="1" si="79"/>
        <v>0</v>
      </c>
      <c r="L242" s="1">
        <f t="shared" ca="1" si="80"/>
        <v>0</v>
      </c>
      <c r="N242" s="21" t="str">
        <f t="shared" ca="1" si="83"/>
        <v/>
      </c>
      <c r="O242" s="22" t="str">
        <f t="shared" ca="1" si="83"/>
        <v/>
      </c>
      <c r="P242" s="22" t="str">
        <f t="shared" ca="1" si="83"/>
        <v/>
      </c>
      <c r="Q242" s="22" t="str">
        <f t="shared" ca="1" si="83"/>
        <v/>
      </c>
      <c r="R242" s="22" t="str">
        <f t="shared" ca="1" si="83"/>
        <v/>
      </c>
      <c r="S242" s="22" t="str">
        <f t="shared" ca="1" si="83"/>
        <v/>
      </c>
      <c r="T242" s="22" t="str">
        <f t="shared" ca="1" si="83"/>
        <v/>
      </c>
      <c r="U242" s="22" t="str">
        <f t="shared" ca="1" si="83"/>
        <v/>
      </c>
      <c r="V242" s="22" t="str">
        <f t="shared" ca="1" si="83"/>
        <v/>
      </c>
      <c r="W242" s="23" t="str">
        <f t="shared" ca="1" si="83"/>
        <v/>
      </c>
      <c r="Y242" s="21" t="str">
        <f t="shared" ca="1" si="67"/>
        <v/>
      </c>
      <c r="Z242" s="22" t="str">
        <f t="shared" ca="1" si="67"/>
        <v/>
      </c>
      <c r="AA242" s="22" t="str">
        <f t="shared" ca="1" si="67"/>
        <v/>
      </c>
      <c r="AB242" s="22" t="str">
        <f t="shared" ca="1" si="67"/>
        <v/>
      </c>
      <c r="AC242" s="22" t="str">
        <f t="shared" ca="1" si="67"/>
        <v/>
      </c>
      <c r="AD242" s="22" t="str">
        <f t="shared" ca="1" si="66"/>
        <v/>
      </c>
      <c r="AE242" s="22" t="str">
        <f t="shared" ca="1" si="66"/>
        <v/>
      </c>
      <c r="AF242" s="22" t="str">
        <f t="shared" ca="1" si="66"/>
        <v/>
      </c>
      <c r="AG242" s="22" t="str">
        <f t="shared" ca="1" si="66"/>
        <v/>
      </c>
      <c r="AH242" s="23" t="str">
        <f t="shared" ca="1" si="66"/>
        <v/>
      </c>
      <c r="AJ242" s="12" t="e">
        <f t="shared" si="69"/>
        <v>#N/A</v>
      </c>
      <c r="AK242" s="51" t="e">
        <f t="shared" si="70"/>
        <v>#N/A</v>
      </c>
      <c r="AL242" s="16" t="e">
        <f t="shared" si="71"/>
        <v>#N/A</v>
      </c>
      <c r="AM242" s="16" t="e">
        <f t="shared" si="72"/>
        <v>#N/A</v>
      </c>
      <c r="AN242" s="10" t="e">
        <f t="shared" ca="1" si="73"/>
        <v>#N/A</v>
      </c>
      <c r="AO242" s="10" t="e">
        <f t="shared" ca="1" si="74"/>
        <v>#N/A</v>
      </c>
      <c r="AP242" s="10" t="e">
        <f t="shared" si="75"/>
        <v>#N/A</v>
      </c>
      <c r="AQ242" s="10" t="e">
        <f t="shared" si="76"/>
        <v>#N/A</v>
      </c>
      <c r="AR242" s="10" t="e">
        <f t="shared" si="76"/>
        <v>#N/A</v>
      </c>
      <c r="BC242" s="29"/>
    </row>
    <row r="243" spans="2:55" x14ac:dyDescent="0.25">
      <c r="B243" s="41"/>
      <c r="C243" s="40"/>
      <c r="D243" s="63"/>
      <c r="E243" s="39"/>
      <c r="F243" s="60"/>
      <c r="G243" s="42" t="str">
        <f t="shared" si="82"/>
        <v/>
      </c>
      <c r="H243" s="45">
        <f t="shared" ca="1" si="77"/>
        <v>51</v>
      </c>
      <c r="I243" s="36">
        <f t="shared" ca="1" si="78"/>
        <v>0</v>
      </c>
      <c r="J243" s="36">
        <f t="shared" ca="1" si="79"/>
        <v>0</v>
      </c>
      <c r="L243" s="1">
        <f t="shared" ca="1" si="80"/>
        <v>0</v>
      </c>
      <c r="N243" s="21" t="str">
        <f t="shared" ca="1" si="83"/>
        <v/>
      </c>
      <c r="O243" s="22" t="str">
        <f t="shared" ca="1" si="83"/>
        <v/>
      </c>
      <c r="P243" s="22" t="str">
        <f t="shared" ca="1" si="83"/>
        <v/>
      </c>
      <c r="Q243" s="22" t="str">
        <f t="shared" ca="1" si="83"/>
        <v/>
      </c>
      <c r="R243" s="22" t="str">
        <f t="shared" ca="1" si="83"/>
        <v/>
      </c>
      <c r="S243" s="22" t="str">
        <f t="shared" ca="1" si="83"/>
        <v/>
      </c>
      <c r="T243" s="22" t="str">
        <f t="shared" ca="1" si="83"/>
        <v/>
      </c>
      <c r="U243" s="22" t="str">
        <f t="shared" ca="1" si="83"/>
        <v/>
      </c>
      <c r="V243" s="22" t="str">
        <f t="shared" ca="1" si="83"/>
        <v/>
      </c>
      <c r="W243" s="23" t="str">
        <f t="shared" ca="1" si="83"/>
        <v/>
      </c>
      <c r="Y243" s="21" t="str">
        <f t="shared" ca="1" si="67"/>
        <v/>
      </c>
      <c r="Z243" s="22" t="str">
        <f t="shared" ca="1" si="67"/>
        <v/>
      </c>
      <c r="AA243" s="22" t="str">
        <f t="shared" ca="1" si="67"/>
        <v/>
      </c>
      <c r="AB243" s="22" t="str">
        <f t="shared" ca="1" si="67"/>
        <v/>
      </c>
      <c r="AC243" s="22" t="str">
        <f t="shared" ca="1" si="67"/>
        <v/>
      </c>
      <c r="AD243" s="22" t="str">
        <f t="shared" ca="1" si="66"/>
        <v/>
      </c>
      <c r="AE243" s="22" t="str">
        <f t="shared" ca="1" si="66"/>
        <v/>
      </c>
      <c r="AF243" s="22" t="str">
        <f t="shared" ca="1" si="66"/>
        <v/>
      </c>
      <c r="AG243" s="22" t="str">
        <f t="shared" ca="1" si="66"/>
        <v/>
      </c>
      <c r="AH243" s="23" t="str">
        <f t="shared" ca="1" si="66"/>
        <v/>
      </c>
      <c r="AJ243" s="12" t="e">
        <f t="shared" si="69"/>
        <v>#N/A</v>
      </c>
      <c r="AK243" s="51" t="e">
        <f t="shared" si="70"/>
        <v>#N/A</v>
      </c>
      <c r="AL243" s="16" t="e">
        <f t="shared" si="71"/>
        <v>#N/A</v>
      </c>
      <c r="AM243" s="16" t="e">
        <f t="shared" si="72"/>
        <v>#N/A</v>
      </c>
      <c r="AN243" s="10" t="e">
        <f t="shared" ca="1" si="73"/>
        <v>#N/A</v>
      </c>
      <c r="AO243" s="10" t="e">
        <f t="shared" ca="1" si="74"/>
        <v>#N/A</v>
      </c>
      <c r="AP243" s="10" t="e">
        <f t="shared" si="75"/>
        <v>#N/A</v>
      </c>
      <c r="AQ243" s="10" t="e">
        <f t="shared" si="76"/>
        <v>#N/A</v>
      </c>
      <c r="AR243" s="10" t="e">
        <f t="shared" si="76"/>
        <v>#N/A</v>
      </c>
      <c r="BC243" s="29"/>
    </row>
    <row r="244" spans="2:55" x14ac:dyDescent="0.25">
      <c r="B244" s="41"/>
      <c r="C244" s="40"/>
      <c r="D244" s="63"/>
      <c r="E244" s="39"/>
      <c r="F244" s="60"/>
      <c r="G244" s="42" t="str">
        <f t="shared" si="82"/>
        <v/>
      </c>
      <c r="H244" s="45">
        <f t="shared" ca="1" si="77"/>
        <v>51</v>
      </c>
      <c r="I244" s="36">
        <f t="shared" ca="1" si="78"/>
        <v>0</v>
      </c>
      <c r="J244" s="36">
        <f t="shared" ca="1" si="79"/>
        <v>0</v>
      </c>
      <c r="L244" s="1">
        <f t="shared" ca="1" si="80"/>
        <v>0</v>
      </c>
      <c r="N244" s="21" t="str">
        <f t="shared" ca="1" si="83"/>
        <v/>
      </c>
      <c r="O244" s="22" t="str">
        <f t="shared" ca="1" si="83"/>
        <v/>
      </c>
      <c r="P244" s="22" t="str">
        <f t="shared" ca="1" si="83"/>
        <v/>
      </c>
      <c r="Q244" s="22" t="str">
        <f t="shared" ca="1" si="83"/>
        <v/>
      </c>
      <c r="R244" s="22" t="str">
        <f t="shared" ca="1" si="83"/>
        <v/>
      </c>
      <c r="S244" s="22" t="str">
        <f t="shared" ca="1" si="83"/>
        <v/>
      </c>
      <c r="T244" s="22" t="str">
        <f t="shared" ca="1" si="83"/>
        <v/>
      </c>
      <c r="U244" s="22" t="str">
        <f t="shared" ca="1" si="83"/>
        <v/>
      </c>
      <c r="V244" s="22" t="str">
        <f t="shared" ca="1" si="83"/>
        <v/>
      </c>
      <c r="W244" s="23" t="str">
        <f t="shared" ca="1" si="83"/>
        <v/>
      </c>
      <c r="Y244" s="21" t="str">
        <f t="shared" ca="1" si="67"/>
        <v/>
      </c>
      <c r="Z244" s="22" t="str">
        <f t="shared" ca="1" si="67"/>
        <v/>
      </c>
      <c r="AA244" s="22" t="str">
        <f t="shared" ca="1" si="67"/>
        <v/>
      </c>
      <c r="AB244" s="22" t="str">
        <f t="shared" ca="1" si="67"/>
        <v/>
      </c>
      <c r="AC244" s="22" t="str">
        <f t="shared" ca="1" si="67"/>
        <v/>
      </c>
      <c r="AD244" s="22" t="str">
        <f t="shared" ref="AD244:AH284" ca="1" si="84">IFERROR(ABS(S244-S243),"")</f>
        <v/>
      </c>
      <c r="AE244" s="22" t="str">
        <f t="shared" ca="1" si="84"/>
        <v/>
      </c>
      <c r="AF244" s="22" t="str">
        <f t="shared" ca="1" si="84"/>
        <v/>
      </c>
      <c r="AG244" s="22" t="str">
        <f t="shared" ca="1" si="84"/>
        <v/>
      </c>
      <c r="AH244" s="23" t="str">
        <f t="shared" ca="1" si="84"/>
        <v/>
      </c>
      <c r="AJ244" s="12" t="e">
        <f t="shared" si="69"/>
        <v>#N/A</v>
      </c>
      <c r="AK244" s="51" t="e">
        <f t="shared" si="70"/>
        <v>#N/A</v>
      </c>
      <c r="AL244" s="16" t="e">
        <f t="shared" si="71"/>
        <v>#N/A</v>
      </c>
      <c r="AM244" s="16" t="e">
        <f t="shared" si="72"/>
        <v>#N/A</v>
      </c>
      <c r="AN244" s="10" t="e">
        <f t="shared" ca="1" si="73"/>
        <v>#N/A</v>
      </c>
      <c r="AO244" s="10" t="e">
        <f t="shared" ca="1" si="74"/>
        <v>#N/A</v>
      </c>
      <c r="AP244" s="10" t="e">
        <f t="shared" si="75"/>
        <v>#N/A</v>
      </c>
      <c r="AQ244" s="10" t="e">
        <f t="shared" si="76"/>
        <v>#N/A</v>
      </c>
      <c r="AR244" s="10" t="e">
        <f t="shared" si="76"/>
        <v>#N/A</v>
      </c>
      <c r="BC244" s="29"/>
    </row>
    <row r="245" spans="2:55" x14ac:dyDescent="0.25">
      <c r="B245" s="41"/>
      <c r="C245" s="40"/>
      <c r="D245" s="63"/>
      <c r="E245" s="39"/>
      <c r="F245" s="60"/>
      <c r="G245" s="42" t="str">
        <f t="shared" si="82"/>
        <v/>
      </c>
      <c r="H245" s="45">
        <f t="shared" ca="1" si="77"/>
        <v>51</v>
      </c>
      <c r="I245" s="36">
        <f t="shared" ca="1" si="78"/>
        <v>0</v>
      </c>
      <c r="J245" s="36">
        <f t="shared" ca="1" si="79"/>
        <v>0</v>
      </c>
      <c r="L245" s="1">
        <f t="shared" ca="1" si="80"/>
        <v>0</v>
      </c>
      <c r="N245" s="21" t="str">
        <f t="shared" ca="1" si="83"/>
        <v/>
      </c>
      <c r="O245" s="22" t="str">
        <f t="shared" ca="1" si="83"/>
        <v/>
      </c>
      <c r="P245" s="22" t="str">
        <f t="shared" ca="1" si="83"/>
        <v/>
      </c>
      <c r="Q245" s="22" t="str">
        <f t="shared" ca="1" si="83"/>
        <v/>
      </c>
      <c r="R245" s="22" t="str">
        <f t="shared" ca="1" si="83"/>
        <v/>
      </c>
      <c r="S245" s="22" t="str">
        <f t="shared" ca="1" si="83"/>
        <v/>
      </c>
      <c r="T245" s="22" t="str">
        <f t="shared" ca="1" si="83"/>
        <v/>
      </c>
      <c r="U245" s="22" t="str">
        <f t="shared" ca="1" si="83"/>
        <v/>
      </c>
      <c r="V245" s="22" t="str">
        <f t="shared" ca="1" si="83"/>
        <v/>
      </c>
      <c r="W245" s="23" t="str">
        <f t="shared" ca="1" si="83"/>
        <v/>
      </c>
      <c r="Y245" s="21" t="str">
        <f t="shared" ref="Y245:AC284" ca="1" si="85">IFERROR(ABS(N245-N244),"")</f>
        <v/>
      </c>
      <c r="Z245" s="22" t="str">
        <f t="shared" ca="1" si="85"/>
        <v/>
      </c>
      <c r="AA245" s="22" t="str">
        <f t="shared" ca="1" si="85"/>
        <v/>
      </c>
      <c r="AB245" s="22" t="str">
        <f t="shared" ca="1" si="85"/>
        <v/>
      </c>
      <c r="AC245" s="22" t="str">
        <f t="shared" ca="1" si="85"/>
        <v/>
      </c>
      <c r="AD245" s="22" t="str">
        <f t="shared" ca="1" si="84"/>
        <v/>
      </c>
      <c r="AE245" s="22" t="str">
        <f t="shared" ca="1" si="84"/>
        <v/>
      </c>
      <c r="AF245" s="22" t="str">
        <f t="shared" ca="1" si="84"/>
        <v/>
      </c>
      <c r="AG245" s="22" t="str">
        <f t="shared" ca="1" si="84"/>
        <v/>
      </c>
      <c r="AH245" s="23" t="str">
        <f t="shared" ca="1" si="84"/>
        <v/>
      </c>
      <c r="AJ245" s="12" t="e">
        <f t="shared" si="69"/>
        <v>#N/A</v>
      </c>
      <c r="AK245" s="51" t="e">
        <f t="shared" si="70"/>
        <v>#N/A</v>
      </c>
      <c r="AL245" s="16" t="e">
        <f t="shared" si="71"/>
        <v>#N/A</v>
      </c>
      <c r="AM245" s="16" t="e">
        <f t="shared" si="72"/>
        <v>#N/A</v>
      </c>
      <c r="AN245" s="10" t="e">
        <f t="shared" ca="1" si="73"/>
        <v>#N/A</v>
      </c>
      <c r="AO245" s="10" t="e">
        <f t="shared" ca="1" si="74"/>
        <v>#N/A</v>
      </c>
      <c r="AP245" s="10" t="e">
        <f t="shared" si="75"/>
        <v>#N/A</v>
      </c>
      <c r="AQ245" s="10" t="e">
        <f t="shared" si="76"/>
        <v>#N/A</v>
      </c>
      <c r="AR245" s="10" t="e">
        <f t="shared" si="76"/>
        <v>#N/A</v>
      </c>
      <c r="BC245" s="29"/>
    </row>
    <row r="246" spans="2:55" x14ac:dyDescent="0.25">
      <c r="B246" s="41"/>
      <c r="C246" s="40"/>
      <c r="D246" s="63"/>
      <c r="E246" s="39"/>
      <c r="F246" s="60"/>
      <c r="G246" s="42" t="str">
        <f t="shared" si="82"/>
        <v/>
      </c>
      <c r="H246" s="45">
        <f t="shared" ca="1" si="77"/>
        <v>51</v>
      </c>
      <c r="I246" s="36">
        <f t="shared" ca="1" si="78"/>
        <v>0</v>
      </c>
      <c r="J246" s="36">
        <f t="shared" ca="1" si="79"/>
        <v>0</v>
      </c>
      <c r="L246" s="1">
        <f t="shared" ca="1" si="80"/>
        <v>0</v>
      </c>
      <c r="N246" s="21" t="str">
        <f t="shared" ca="1" si="83"/>
        <v/>
      </c>
      <c r="O246" s="22" t="str">
        <f t="shared" ca="1" si="83"/>
        <v/>
      </c>
      <c r="P246" s="22" t="str">
        <f t="shared" ca="1" si="83"/>
        <v/>
      </c>
      <c r="Q246" s="22" t="str">
        <f t="shared" ca="1" si="83"/>
        <v/>
      </c>
      <c r="R246" s="22" t="str">
        <f t="shared" ca="1" si="83"/>
        <v/>
      </c>
      <c r="S246" s="22" t="str">
        <f t="shared" ca="1" si="83"/>
        <v/>
      </c>
      <c r="T246" s="22" t="str">
        <f t="shared" ca="1" si="83"/>
        <v/>
      </c>
      <c r="U246" s="22" t="str">
        <f t="shared" ca="1" si="83"/>
        <v/>
      </c>
      <c r="V246" s="22" t="str">
        <f t="shared" ca="1" si="83"/>
        <v/>
      </c>
      <c r="W246" s="23" t="str">
        <f t="shared" ca="1" si="83"/>
        <v/>
      </c>
      <c r="Y246" s="21" t="str">
        <f t="shared" ca="1" si="85"/>
        <v/>
      </c>
      <c r="Z246" s="22" t="str">
        <f t="shared" ca="1" si="85"/>
        <v/>
      </c>
      <c r="AA246" s="22" t="str">
        <f t="shared" ca="1" si="85"/>
        <v/>
      </c>
      <c r="AB246" s="22" t="str">
        <f t="shared" ca="1" si="85"/>
        <v/>
      </c>
      <c r="AC246" s="22" t="str">
        <f t="shared" ca="1" si="85"/>
        <v/>
      </c>
      <c r="AD246" s="22" t="str">
        <f t="shared" ca="1" si="84"/>
        <v/>
      </c>
      <c r="AE246" s="22" t="str">
        <f t="shared" ca="1" si="84"/>
        <v/>
      </c>
      <c r="AF246" s="22" t="str">
        <f t="shared" ca="1" si="84"/>
        <v/>
      </c>
      <c r="AG246" s="22" t="str">
        <f t="shared" ca="1" si="84"/>
        <v/>
      </c>
      <c r="AH246" s="23" t="str">
        <f t="shared" ca="1" si="84"/>
        <v/>
      </c>
      <c r="AJ246" s="12" t="e">
        <f t="shared" si="69"/>
        <v>#N/A</v>
      </c>
      <c r="AK246" s="51" t="e">
        <f t="shared" si="70"/>
        <v>#N/A</v>
      </c>
      <c r="AL246" s="16" t="e">
        <f t="shared" si="71"/>
        <v>#N/A</v>
      </c>
      <c r="AM246" s="16" t="e">
        <f t="shared" si="72"/>
        <v>#N/A</v>
      </c>
      <c r="AN246" s="10" t="e">
        <f t="shared" ca="1" si="73"/>
        <v>#N/A</v>
      </c>
      <c r="AO246" s="10" t="e">
        <f t="shared" ca="1" si="74"/>
        <v>#N/A</v>
      </c>
      <c r="AP246" s="10" t="e">
        <f t="shared" si="75"/>
        <v>#N/A</v>
      </c>
      <c r="AQ246" s="10" t="e">
        <f t="shared" si="76"/>
        <v>#N/A</v>
      </c>
      <c r="AR246" s="10" t="e">
        <f t="shared" si="76"/>
        <v>#N/A</v>
      </c>
      <c r="BC246" s="29"/>
    </row>
    <row r="247" spans="2:55" x14ac:dyDescent="0.25">
      <c r="B247" s="41"/>
      <c r="C247" s="40"/>
      <c r="D247" s="63"/>
      <c r="E247" s="39"/>
      <c r="F247" s="60"/>
      <c r="G247" s="42" t="str">
        <f t="shared" si="82"/>
        <v/>
      </c>
      <c r="H247" s="45">
        <f t="shared" ca="1" si="77"/>
        <v>51</v>
      </c>
      <c r="I247" s="36">
        <f t="shared" ca="1" si="78"/>
        <v>0</v>
      </c>
      <c r="J247" s="36">
        <f t="shared" ca="1" si="79"/>
        <v>0</v>
      </c>
      <c r="L247" s="1">
        <f t="shared" ca="1" si="80"/>
        <v>0</v>
      </c>
      <c r="N247" s="21" t="str">
        <f t="shared" ca="1" si="83"/>
        <v/>
      </c>
      <c r="O247" s="22" t="str">
        <f t="shared" ca="1" si="83"/>
        <v/>
      </c>
      <c r="P247" s="22" t="str">
        <f t="shared" ca="1" si="83"/>
        <v/>
      </c>
      <c r="Q247" s="22" t="str">
        <f t="shared" ca="1" si="83"/>
        <v/>
      </c>
      <c r="R247" s="22" t="str">
        <f t="shared" ca="1" si="83"/>
        <v/>
      </c>
      <c r="S247" s="22" t="str">
        <f t="shared" ca="1" si="83"/>
        <v/>
      </c>
      <c r="T247" s="22" t="str">
        <f t="shared" ca="1" si="83"/>
        <v/>
      </c>
      <c r="U247" s="22" t="str">
        <f t="shared" ca="1" si="83"/>
        <v/>
      </c>
      <c r="V247" s="22" t="str">
        <f t="shared" ca="1" si="83"/>
        <v/>
      </c>
      <c r="W247" s="23" t="str">
        <f t="shared" ca="1" si="83"/>
        <v/>
      </c>
      <c r="Y247" s="21" t="str">
        <f t="shared" ca="1" si="85"/>
        <v/>
      </c>
      <c r="Z247" s="22" t="str">
        <f t="shared" ca="1" si="85"/>
        <v/>
      </c>
      <c r="AA247" s="22" t="str">
        <f t="shared" ca="1" si="85"/>
        <v/>
      </c>
      <c r="AB247" s="22" t="str">
        <f t="shared" ca="1" si="85"/>
        <v/>
      </c>
      <c r="AC247" s="22" t="str">
        <f t="shared" ca="1" si="85"/>
        <v/>
      </c>
      <c r="AD247" s="22" t="str">
        <f t="shared" ca="1" si="84"/>
        <v/>
      </c>
      <c r="AE247" s="22" t="str">
        <f t="shared" ca="1" si="84"/>
        <v/>
      </c>
      <c r="AF247" s="22" t="str">
        <f t="shared" ca="1" si="84"/>
        <v/>
      </c>
      <c r="AG247" s="22" t="str">
        <f t="shared" ca="1" si="84"/>
        <v/>
      </c>
      <c r="AH247" s="23" t="str">
        <f t="shared" ca="1" si="84"/>
        <v/>
      </c>
      <c r="AJ247" s="12" t="e">
        <f t="shared" si="69"/>
        <v>#N/A</v>
      </c>
      <c r="AK247" s="51" t="e">
        <f t="shared" si="70"/>
        <v>#N/A</v>
      </c>
      <c r="AL247" s="16" t="e">
        <f t="shared" si="71"/>
        <v>#N/A</v>
      </c>
      <c r="AM247" s="16" t="e">
        <f t="shared" si="72"/>
        <v>#N/A</v>
      </c>
      <c r="AN247" s="10" t="e">
        <f t="shared" ca="1" si="73"/>
        <v>#N/A</v>
      </c>
      <c r="AO247" s="10" t="e">
        <f t="shared" ca="1" si="74"/>
        <v>#N/A</v>
      </c>
      <c r="AP247" s="10" t="e">
        <f t="shared" si="75"/>
        <v>#N/A</v>
      </c>
      <c r="AQ247" s="10" t="e">
        <f t="shared" si="76"/>
        <v>#N/A</v>
      </c>
      <c r="AR247" s="10" t="e">
        <f t="shared" si="76"/>
        <v>#N/A</v>
      </c>
      <c r="BC247" s="29"/>
    </row>
    <row r="248" spans="2:55" x14ac:dyDescent="0.25">
      <c r="B248" s="41"/>
      <c r="C248" s="40"/>
      <c r="D248" s="63"/>
      <c r="E248" s="39"/>
      <c r="F248" s="60"/>
      <c r="G248" s="42" t="str">
        <f t="shared" si="82"/>
        <v/>
      </c>
      <c r="H248" s="45">
        <f t="shared" ca="1" si="77"/>
        <v>51</v>
      </c>
      <c r="I248" s="36">
        <f t="shared" ca="1" si="78"/>
        <v>0</v>
      </c>
      <c r="J248" s="36">
        <f t="shared" ca="1" si="79"/>
        <v>0</v>
      </c>
      <c r="L248" s="1">
        <f t="shared" ca="1" si="80"/>
        <v>0</v>
      </c>
      <c r="N248" s="21" t="str">
        <f t="shared" ca="1" si="83"/>
        <v/>
      </c>
      <c r="O248" s="22" t="str">
        <f t="shared" ca="1" si="83"/>
        <v/>
      </c>
      <c r="P248" s="22" t="str">
        <f t="shared" ca="1" si="83"/>
        <v/>
      </c>
      <c r="Q248" s="22" t="str">
        <f t="shared" ca="1" si="83"/>
        <v/>
      </c>
      <c r="R248" s="22" t="str">
        <f t="shared" ca="1" si="83"/>
        <v/>
      </c>
      <c r="S248" s="22" t="str">
        <f t="shared" ca="1" si="83"/>
        <v/>
      </c>
      <c r="T248" s="22" t="str">
        <f t="shared" ca="1" si="83"/>
        <v/>
      </c>
      <c r="U248" s="22" t="str">
        <f t="shared" ca="1" si="83"/>
        <v/>
      </c>
      <c r="V248" s="22" t="str">
        <f t="shared" ca="1" si="83"/>
        <v/>
      </c>
      <c r="W248" s="23" t="str">
        <f t="shared" ca="1" si="83"/>
        <v/>
      </c>
      <c r="Y248" s="21" t="str">
        <f t="shared" ca="1" si="85"/>
        <v/>
      </c>
      <c r="Z248" s="22" t="str">
        <f t="shared" ca="1" si="85"/>
        <v/>
      </c>
      <c r="AA248" s="22" t="str">
        <f t="shared" ca="1" si="85"/>
        <v/>
      </c>
      <c r="AB248" s="22" t="str">
        <f t="shared" ca="1" si="85"/>
        <v/>
      </c>
      <c r="AC248" s="22" t="str">
        <f t="shared" ca="1" si="85"/>
        <v/>
      </c>
      <c r="AD248" s="22" t="str">
        <f t="shared" ca="1" si="84"/>
        <v/>
      </c>
      <c r="AE248" s="22" t="str">
        <f t="shared" ca="1" si="84"/>
        <v/>
      </c>
      <c r="AF248" s="22" t="str">
        <f t="shared" ca="1" si="84"/>
        <v/>
      </c>
      <c r="AG248" s="22" t="str">
        <f t="shared" ca="1" si="84"/>
        <v/>
      </c>
      <c r="AH248" s="23" t="str">
        <f t="shared" ca="1" si="84"/>
        <v/>
      </c>
      <c r="AJ248" s="12" t="e">
        <f t="shared" si="69"/>
        <v>#N/A</v>
      </c>
      <c r="AK248" s="51" t="e">
        <f t="shared" si="70"/>
        <v>#N/A</v>
      </c>
      <c r="AL248" s="16" t="e">
        <f t="shared" si="71"/>
        <v>#N/A</v>
      </c>
      <c r="AM248" s="16" t="e">
        <f t="shared" si="72"/>
        <v>#N/A</v>
      </c>
      <c r="AN248" s="10" t="e">
        <f t="shared" ca="1" si="73"/>
        <v>#N/A</v>
      </c>
      <c r="AO248" s="10" t="e">
        <f t="shared" ca="1" si="74"/>
        <v>#N/A</v>
      </c>
      <c r="AP248" s="10" t="e">
        <f t="shared" si="75"/>
        <v>#N/A</v>
      </c>
      <c r="AQ248" s="10" t="e">
        <f t="shared" si="76"/>
        <v>#N/A</v>
      </c>
      <c r="AR248" s="10" t="e">
        <f t="shared" si="76"/>
        <v>#N/A</v>
      </c>
      <c r="BC248" s="29"/>
    </row>
    <row r="249" spans="2:55" x14ac:dyDescent="0.25">
      <c r="B249" s="41"/>
      <c r="C249" s="40"/>
      <c r="D249" s="63"/>
      <c r="E249" s="39"/>
      <c r="F249" s="60"/>
      <c r="G249" s="42" t="str">
        <f t="shared" si="82"/>
        <v/>
      </c>
      <c r="H249" s="45">
        <f t="shared" ca="1" si="77"/>
        <v>51</v>
      </c>
      <c r="I249" s="36">
        <f t="shared" ca="1" si="78"/>
        <v>0</v>
      </c>
      <c r="J249" s="36">
        <f t="shared" ca="1" si="79"/>
        <v>0</v>
      </c>
      <c r="L249" s="1">
        <f t="shared" ca="1" si="80"/>
        <v>0</v>
      </c>
      <c r="N249" s="21" t="str">
        <f t="shared" ca="1" si="83"/>
        <v/>
      </c>
      <c r="O249" s="22" t="str">
        <f t="shared" ca="1" si="83"/>
        <v/>
      </c>
      <c r="P249" s="22" t="str">
        <f t="shared" ca="1" si="83"/>
        <v/>
      </c>
      <c r="Q249" s="22" t="str">
        <f t="shared" ca="1" si="83"/>
        <v/>
      </c>
      <c r="R249" s="22" t="str">
        <f t="shared" ca="1" si="83"/>
        <v/>
      </c>
      <c r="S249" s="22" t="str">
        <f t="shared" ca="1" si="83"/>
        <v/>
      </c>
      <c r="T249" s="22" t="str">
        <f t="shared" ca="1" si="83"/>
        <v/>
      </c>
      <c r="U249" s="22" t="str">
        <f t="shared" ca="1" si="83"/>
        <v/>
      </c>
      <c r="V249" s="22" t="str">
        <f t="shared" ca="1" si="83"/>
        <v/>
      </c>
      <c r="W249" s="23" t="str">
        <f t="shared" ca="1" si="83"/>
        <v/>
      </c>
      <c r="Y249" s="21" t="str">
        <f t="shared" ca="1" si="85"/>
        <v/>
      </c>
      <c r="Z249" s="22" t="str">
        <f t="shared" ca="1" si="85"/>
        <v/>
      </c>
      <c r="AA249" s="22" t="str">
        <f t="shared" ca="1" si="85"/>
        <v/>
      </c>
      <c r="AB249" s="22" t="str">
        <f t="shared" ca="1" si="85"/>
        <v/>
      </c>
      <c r="AC249" s="22" t="str">
        <f t="shared" ca="1" si="85"/>
        <v/>
      </c>
      <c r="AD249" s="22" t="str">
        <f t="shared" ca="1" si="84"/>
        <v/>
      </c>
      <c r="AE249" s="22" t="str">
        <f t="shared" ca="1" si="84"/>
        <v/>
      </c>
      <c r="AF249" s="22" t="str">
        <f t="shared" ca="1" si="84"/>
        <v/>
      </c>
      <c r="AG249" s="22" t="str">
        <f t="shared" ca="1" si="84"/>
        <v/>
      </c>
      <c r="AH249" s="23" t="str">
        <f t="shared" ca="1" si="84"/>
        <v/>
      </c>
      <c r="AJ249" s="12" t="e">
        <f t="shared" si="69"/>
        <v>#N/A</v>
      </c>
      <c r="AK249" s="51" t="e">
        <f t="shared" si="70"/>
        <v>#N/A</v>
      </c>
      <c r="AL249" s="16" t="e">
        <f t="shared" si="71"/>
        <v>#N/A</v>
      </c>
      <c r="AM249" s="16" t="e">
        <f t="shared" si="72"/>
        <v>#N/A</v>
      </c>
      <c r="AN249" s="10" t="e">
        <f t="shared" ca="1" si="73"/>
        <v>#N/A</v>
      </c>
      <c r="AO249" s="10" t="e">
        <f t="shared" ca="1" si="74"/>
        <v>#N/A</v>
      </c>
      <c r="AP249" s="10" t="e">
        <f t="shared" si="75"/>
        <v>#N/A</v>
      </c>
      <c r="AQ249" s="10" t="e">
        <f t="shared" si="76"/>
        <v>#N/A</v>
      </c>
      <c r="AR249" s="10" t="e">
        <f t="shared" si="76"/>
        <v>#N/A</v>
      </c>
      <c r="BC249" s="29"/>
    </row>
    <row r="250" spans="2:55" x14ac:dyDescent="0.25">
      <c r="B250" s="41"/>
      <c r="C250" s="40"/>
      <c r="D250" s="63"/>
      <c r="E250" s="39"/>
      <c r="F250" s="60"/>
      <c r="G250" s="42" t="str">
        <f t="shared" si="82"/>
        <v/>
      </c>
      <c r="H250" s="45">
        <f t="shared" ca="1" si="77"/>
        <v>51</v>
      </c>
      <c r="I250" s="36">
        <f t="shared" ca="1" si="78"/>
        <v>0</v>
      </c>
      <c r="J250" s="36">
        <f t="shared" ca="1" si="79"/>
        <v>0</v>
      </c>
      <c r="L250" s="1">
        <f t="shared" ca="1" si="80"/>
        <v>0</v>
      </c>
      <c r="N250" s="21" t="str">
        <f t="shared" ca="1" si="83"/>
        <v/>
      </c>
      <c r="O250" s="22" t="str">
        <f t="shared" ca="1" si="83"/>
        <v/>
      </c>
      <c r="P250" s="22" t="str">
        <f t="shared" ca="1" si="83"/>
        <v/>
      </c>
      <c r="Q250" s="22" t="str">
        <f t="shared" ca="1" si="83"/>
        <v/>
      </c>
      <c r="R250" s="22" t="str">
        <f t="shared" ca="1" si="83"/>
        <v/>
      </c>
      <c r="S250" s="22" t="str">
        <f t="shared" ca="1" si="83"/>
        <v/>
      </c>
      <c r="T250" s="22" t="str">
        <f t="shared" ca="1" si="83"/>
        <v/>
      </c>
      <c r="U250" s="22" t="str">
        <f t="shared" ca="1" si="83"/>
        <v/>
      </c>
      <c r="V250" s="22" t="str">
        <f t="shared" ca="1" si="83"/>
        <v/>
      </c>
      <c r="W250" s="23" t="str">
        <f t="shared" ca="1" si="83"/>
        <v/>
      </c>
      <c r="Y250" s="21" t="str">
        <f t="shared" ca="1" si="85"/>
        <v/>
      </c>
      <c r="Z250" s="22" t="str">
        <f t="shared" ca="1" si="85"/>
        <v/>
      </c>
      <c r="AA250" s="22" t="str">
        <f t="shared" ca="1" si="85"/>
        <v/>
      </c>
      <c r="AB250" s="22" t="str">
        <f t="shared" ca="1" si="85"/>
        <v/>
      </c>
      <c r="AC250" s="22" t="str">
        <f t="shared" ca="1" si="85"/>
        <v/>
      </c>
      <c r="AD250" s="22" t="str">
        <f t="shared" ca="1" si="84"/>
        <v/>
      </c>
      <c r="AE250" s="22" t="str">
        <f t="shared" ca="1" si="84"/>
        <v/>
      </c>
      <c r="AF250" s="22" t="str">
        <f t="shared" ca="1" si="84"/>
        <v/>
      </c>
      <c r="AG250" s="22" t="str">
        <f t="shared" ca="1" si="84"/>
        <v/>
      </c>
      <c r="AH250" s="23" t="str">
        <f t="shared" ca="1" si="84"/>
        <v/>
      </c>
      <c r="AJ250" s="12" t="e">
        <f t="shared" si="69"/>
        <v>#N/A</v>
      </c>
      <c r="AK250" s="51" t="e">
        <f t="shared" si="70"/>
        <v>#N/A</v>
      </c>
      <c r="AL250" s="16" t="e">
        <f t="shared" si="71"/>
        <v>#N/A</v>
      </c>
      <c r="AM250" s="16" t="e">
        <f t="shared" si="72"/>
        <v>#N/A</v>
      </c>
      <c r="AN250" s="10" t="e">
        <f t="shared" ca="1" si="73"/>
        <v>#N/A</v>
      </c>
      <c r="AO250" s="10" t="e">
        <f t="shared" ca="1" si="74"/>
        <v>#N/A</v>
      </c>
      <c r="AP250" s="10" t="e">
        <f t="shared" si="75"/>
        <v>#N/A</v>
      </c>
      <c r="AQ250" s="10" t="e">
        <f t="shared" si="76"/>
        <v>#N/A</v>
      </c>
      <c r="AR250" s="10" t="e">
        <f t="shared" si="76"/>
        <v>#N/A</v>
      </c>
      <c r="BC250" s="29"/>
    </row>
    <row r="251" spans="2:55" x14ac:dyDescent="0.25">
      <c r="B251" s="41"/>
      <c r="C251" s="40"/>
      <c r="D251" s="63"/>
      <c r="E251" s="39"/>
      <c r="F251" s="60"/>
      <c r="G251" s="42" t="str">
        <f t="shared" si="82"/>
        <v/>
      </c>
      <c r="H251" s="45">
        <f t="shared" ca="1" si="77"/>
        <v>51</v>
      </c>
      <c r="I251" s="36">
        <f t="shared" ca="1" si="78"/>
        <v>0</v>
      </c>
      <c r="J251" s="36">
        <f t="shared" ca="1" si="79"/>
        <v>0</v>
      </c>
      <c r="L251" s="1">
        <f t="shared" ca="1" si="80"/>
        <v>0</v>
      </c>
      <c r="N251" s="21" t="str">
        <f t="shared" ref="N251:W266" ca="1" si="86">IF(ISNUMBER($C251),IF($G251&lt;=$C$9,IF($L251=N$25,$C251,""),IF(COUNT(INDIRECT(ADDRESS(ROW(N$26),COLUMN())&amp;":"&amp;ADDRESS(ROW()-1,COLUMN())))&gt;$C$13,"",IF($L251=N$25,$C251,""))),"")</f>
        <v/>
      </c>
      <c r="O251" s="22" t="str">
        <f t="shared" ca="1" si="86"/>
        <v/>
      </c>
      <c r="P251" s="22" t="str">
        <f t="shared" ca="1" si="86"/>
        <v/>
      </c>
      <c r="Q251" s="22" t="str">
        <f t="shared" ca="1" si="86"/>
        <v/>
      </c>
      <c r="R251" s="22" t="str">
        <f t="shared" ca="1" si="86"/>
        <v/>
      </c>
      <c r="S251" s="22" t="str">
        <f t="shared" ca="1" si="86"/>
        <v/>
      </c>
      <c r="T251" s="22" t="str">
        <f t="shared" ca="1" si="86"/>
        <v/>
      </c>
      <c r="U251" s="22" t="str">
        <f t="shared" ca="1" si="86"/>
        <v/>
      </c>
      <c r="V251" s="22" t="str">
        <f t="shared" ca="1" si="86"/>
        <v/>
      </c>
      <c r="W251" s="23" t="str">
        <f t="shared" ca="1" si="86"/>
        <v/>
      </c>
      <c r="Y251" s="21" t="str">
        <f t="shared" ca="1" si="85"/>
        <v/>
      </c>
      <c r="Z251" s="22" t="str">
        <f t="shared" ca="1" si="85"/>
        <v/>
      </c>
      <c r="AA251" s="22" t="str">
        <f t="shared" ca="1" si="85"/>
        <v/>
      </c>
      <c r="AB251" s="22" t="str">
        <f t="shared" ca="1" si="85"/>
        <v/>
      </c>
      <c r="AC251" s="22" t="str">
        <f t="shared" ca="1" si="85"/>
        <v/>
      </c>
      <c r="AD251" s="22" t="str">
        <f t="shared" ca="1" si="84"/>
        <v/>
      </c>
      <c r="AE251" s="22" t="str">
        <f t="shared" ca="1" si="84"/>
        <v/>
      </c>
      <c r="AF251" s="22" t="str">
        <f t="shared" ca="1" si="84"/>
        <v/>
      </c>
      <c r="AG251" s="22" t="str">
        <f t="shared" ca="1" si="84"/>
        <v/>
      </c>
      <c r="AH251" s="23" t="str">
        <f t="shared" ca="1" si="84"/>
        <v/>
      </c>
      <c r="AJ251" s="12" t="e">
        <f t="shared" si="69"/>
        <v>#N/A</v>
      </c>
      <c r="AK251" s="51" t="e">
        <f t="shared" si="70"/>
        <v>#N/A</v>
      </c>
      <c r="AL251" s="16" t="e">
        <f t="shared" si="71"/>
        <v>#N/A</v>
      </c>
      <c r="AM251" s="16" t="e">
        <f t="shared" si="72"/>
        <v>#N/A</v>
      </c>
      <c r="AN251" s="10" t="e">
        <f t="shared" ca="1" si="73"/>
        <v>#N/A</v>
      </c>
      <c r="AO251" s="10" t="e">
        <f t="shared" ca="1" si="74"/>
        <v>#N/A</v>
      </c>
      <c r="AP251" s="10" t="e">
        <f t="shared" si="75"/>
        <v>#N/A</v>
      </c>
      <c r="AQ251" s="10" t="e">
        <f t="shared" si="76"/>
        <v>#N/A</v>
      </c>
      <c r="AR251" s="10" t="e">
        <f t="shared" si="76"/>
        <v>#N/A</v>
      </c>
      <c r="BC251" s="29"/>
    </row>
    <row r="252" spans="2:55" x14ac:dyDescent="0.25">
      <c r="B252" s="41"/>
      <c r="C252" s="40"/>
      <c r="D252" s="63"/>
      <c r="E252" s="39"/>
      <c r="F252" s="60"/>
      <c r="G252" s="42" t="str">
        <f t="shared" si="82"/>
        <v/>
      </c>
      <c r="H252" s="45">
        <f t="shared" ca="1" si="77"/>
        <v>51</v>
      </c>
      <c r="I252" s="36">
        <f t="shared" ca="1" si="78"/>
        <v>0</v>
      </c>
      <c r="J252" s="36">
        <f t="shared" ca="1" si="79"/>
        <v>0</v>
      </c>
      <c r="L252" s="1">
        <f t="shared" ca="1" si="80"/>
        <v>0</v>
      </c>
      <c r="N252" s="21" t="str">
        <f t="shared" ca="1" si="86"/>
        <v/>
      </c>
      <c r="O252" s="22" t="str">
        <f t="shared" ca="1" si="86"/>
        <v/>
      </c>
      <c r="P252" s="22" t="str">
        <f t="shared" ca="1" si="86"/>
        <v/>
      </c>
      <c r="Q252" s="22" t="str">
        <f t="shared" ca="1" si="86"/>
        <v/>
      </c>
      <c r="R252" s="22" t="str">
        <f t="shared" ca="1" si="86"/>
        <v/>
      </c>
      <c r="S252" s="22" t="str">
        <f t="shared" ca="1" si="86"/>
        <v/>
      </c>
      <c r="T252" s="22" t="str">
        <f t="shared" ca="1" si="86"/>
        <v/>
      </c>
      <c r="U252" s="22" t="str">
        <f t="shared" ca="1" si="86"/>
        <v/>
      </c>
      <c r="V252" s="22" t="str">
        <f t="shared" ca="1" si="86"/>
        <v/>
      </c>
      <c r="W252" s="23" t="str">
        <f t="shared" ca="1" si="86"/>
        <v/>
      </c>
      <c r="Y252" s="21" t="str">
        <f t="shared" ca="1" si="85"/>
        <v/>
      </c>
      <c r="Z252" s="22" t="str">
        <f t="shared" ca="1" si="85"/>
        <v/>
      </c>
      <c r="AA252" s="22" t="str">
        <f t="shared" ca="1" si="85"/>
        <v/>
      </c>
      <c r="AB252" s="22" t="str">
        <f t="shared" ca="1" si="85"/>
        <v/>
      </c>
      <c r="AC252" s="22" t="str">
        <f t="shared" ca="1" si="85"/>
        <v/>
      </c>
      <c r="AD252" s="22" t="str">
        <f t="shared" ca="1" si="84"/>
        <v/>
      </c>
      <c r="AE252" s="22" t="str">
        <f t="shared" ca="1" si="84"/>
        <v/>
      </c>
      <c r="AF252" s="22" t="str">
        <f t="shared" ca="1" si="84"/>
        <v/>
      </c>
      <c r="AG252" s="22" t="str">
        <f t="shared" ca="1" si="84"/>
        <v/>
      </c>
      <c r="AH252" s="23" t="str">
        <f t="shared" ca="1" si="84"/>
        <v/>
      </c>
      <c r="AJ252" s="12" t="e">
        <f t="shared" si="69"/>
        <v>#N/A</v>
      </c>
      <c r="AK252" s="51" t="e">
        <f t="shared" si="70"/>
        <v>#N/A</v>
      </c>
      <c r="AL252" s="16" t="e">
        <f t="shared" si="71"/>
        <v>#N/A</v>
      </c>
      <c r="AM252" s="16" t="e">
        <f t="shared" si="72"/>
        <v>#N/A</v>
      </c>
      <c r="AN252" s="10" t="e">
        <f t="shared" ca="1" si="73"/>
        <v>#N/A</v>
      </c>
      <c r="AO252" s="10" t="e">
        <f t="shared" ca="1" si="74"/>
        <v>#N/A</v>
      </c>
      <c r="AP252" s="10" t="e">
        <f t="shared" si="75"/>
        <v>#N/A</v>
      </c>
      <c r="AQ252" s="10" t="e">
        <f t="shared" si="76"/>
        <v>#N/A</v>
      </c>
      <c r="AR252" s="10" t="e">
        <f t="shared" si="76"/>
        <v>#N/A</v>
      </c>
      <c r="BC252" s="29"/>
    </row>
    <row r="253" spans="2:55" x14ac:dyDescent="0.25">
      <c r="B253" s="41"/>
      <c r="C253" s="40"/>
      <c r="D253" s="63"/>
      <c r="E253" s="39"/>
      <c r="F253" s="60"/>
      <c r="G253" s="42" t="str">
        <f t="shared" si="82"/>
        <v/>
      </c>
      <c r="H253" s="45">
        <f t="shared" ca="1" si="77"/>
        <v>51</v>
      </c>
      <c r="I253" s="36">
        <f t="shared" ca="1" si="78"/>
        <v>0</v>
      </c>
      <c r="J253" s="36">
        <f t="shared" ca="1" si="79"/>
        <v>0</v>
      </c>
      <c r="L253" s="1">
        <f t="shared" ca="1" si="80"/>
        <v>0</v>
      </c>
      <c r="N253" s="21" t="str">
        <f t="shared" ca="1" si="86"/>
        <v/>
      </c>
      <c r="O253" s="22" t="str">
        <f t="shared" ca="1" si="86"/>
        <v/>
      </c>
      <c r="P253" s="22" t="str">
        <f t="shared" ca="1" si="86"/>
        <v/>
      </c>
      <c r="Q253" s="22" t="str">
        <f t="shared" ca="1" si="86"/>
        <v/>
      </c>
      <c r="R253" s="22" t="str">
        <f t="shared" ca="1" si="86"/>
        <v/>
      </c>
      <c r="S253" s="22" t="str">
        <f t="shared" ca="1" si="86"/>
        <v/>
      </c>
      <c r="T253" s="22" t="str">
        <f t="shared" ca="1" si="86"/>
        <v/>
      </c>
      <c r="U253" s="22" t="str">
        <f t="shared" ca="1" si="86"/>
        <v/>
      </c>
      <c r="V253" s="22" t="str">
        <f t="shared" ca="1" si="86"/>
        <v/>
      </c>
      <c r="W253" s="23" t="str">
        <f t="shared" ca="1" si="86"/>
        <v/>
      </c>
      <c r="Y253" s="21" t="str">
        <f t="shared" ca="1" si="85"/>
        <v/>
      </c>
      <c r="Z253" s="22" t="str">
        <f t="shared" ca="1" si="85"/>
        <v/>
      </c>
      <c r="AA253" s="22" t="str">
        <f t="shared" ca="1" si="85"/>
        <v/>
      </c>
      <c r="AB253" s="22" t="str">
        <f t="shared" ca="1" si="85"/>
        <v/>
      </c>
      <c r="AC253" s="22" t="str">
        <f t="shared" ca="1" si="85"/>
        <v/>
      </c>
      <c r="AD253" s="22" t="str">
        <f t="shared" ca="1" si="84"/>
        <v/>
      </c>
      <c r="AE253" s="22" t="str">
        <f t="shared" ca="1" si="84"/>
        <v/>
      </c>
      <c r="AF253" s="22" t="str">
        <f t="shared" ca="1" si="84"/>
        <v/>
      </c>
      <c r="AG253" s="22" t="str">
        <f t="shared" ca="1" si="84"/>
        <v/>
      </c>
      <c r="AH253" s="23" t="str">
        <f t="shared" ca="1" si="84"/>
        <v/>
      </c>
      <c r="AJ253" s="12" t="e">
        <f t="shared" si="69"/>
        <v>#N/A</v>
      </c>
      <c r="AK253" s="51" t="e">
        <f t="shared" si="70"/>
        <v>#N/A</v>
      </c>
      <c r="AL253" s="16" t="e">
        <f t="shared" si="71"/>
        <v>#N/A</v>
      </c>
      <c r="AM253" s="16" t="e">
        <f t="shared" si="72"/>
        <v>#N/A</v>
      </c>
      <c r="AN253" s="10" t="e">
        <f t="shared" ca="1" si="73"/>
        <v>#N/A</v>
      </c>
      <c r="AO253" s="10" t="e">
        <f t="shared" ca="1" si="74"/>
        <v>#N/A</v>
      </c>
      <c r="AP253" s="10" t="e">
        <f t="shared" si="75"/>
        <v>#N/A</v>
      </c>
      <c r="AQ253" s="10" t="e">
        <f t="shared" si="76"/>
        <v>#N/A</v>
      </c>
      <c r="AR253" s="10" t="e">
        <f t="shared" si="76"/>
        <v>#N/A</v>
      </c>
      <c r="BC253" s="29"/>
    </row>
    <row r="254" spans="2:55" x14ac:dyDescent="0.25">
      <c r="B254" s="41"/>
      <c r="C254" s="40"/>
      <c r="D254" s="63"/>
      <c r="E254" s="39"/>
      <c r="F254" s="60"/>
      <c r="G254" s="42" t="str">
        <f t="shared" si="82"/>
        <v/>
      </c>
      <c r="H254" s="45">
        <f t="shared" ca="1" si="77"/>
        <v>51</v>
      </c>
      <c r="I254" s="36">
        <f t="shared" ca="1" si="78"/>
        <v>0</v>
      </c>
      <c r="J254" s="36">
        <f t="shared" ca="1" si="79"/>
        <v>0</v>
      </c>
      <c r="L254" s="1">
        <f t="shared" ca="1" si="80"/>
        <v>0</v>
      </c>
      <c r="N254" s="21" t="str">
        <f t="shared" ca="1" si="86"/>
        <v/>
      </c>
      <c r="O254" s="22" t="str">
        <f t="shared" ca="1" si="86"/>
        <v/>
      </c>
      <c r="P254" s="22" t="str">
        <f t="shared" ca="1" si="86"/>
        <v/>
      </c>
      <c r="Q254" s="22" t="str">
        <f t="shared" ca="1" si="86"/>
        <v/>
      </c>
      <c r="R254" s="22" t="str">
        <f t="shared" ca="1" si="86"/>
        <v/>
      </c>
      <c r="S254" s="22" t="str">
        <f t="shared" ca="1" si="86"/>
        <v/>
      </c>
      <c r="T254" s="22" t="str">
        <f t="shared" ca="1" si="86"/>
        <v/>
      </c>
      <c r="U254" s="22" t="str">
        <f t="shared" ca="1" si="86"/>
        <v/>
      </c>
      <c r="V254" s="22" t="str">
        <f t="shared" ca="1" si="86"/>
        <v/>
      </c>
      <c r="W254" s="23" t="str">
        <f t="shared" ca="1" si="86"/>
        <v/>
      </c>
      <c r="Y254" s="21" t="str">
        <f t="shared" ca="1" si="85"/>
        <v/>
      </c>
      <c r="Z254" s="22" t="str">
        <f t="shared" ca="1" si="85"/>
        <v/>
      </c>
      <c r="AA254" s="22" t="str">
        <f t="shared" ca="1" si="85"/>
        <v/>
      </c>
      <c r="AB254" s="22" t="str">
        <f t="shared" ca="1" si="85"/>
        <v/>
      </c>
      <c r="AC254" s="22" t="str">
        <f t="shared" ca="1" si="85"/>
        <v/>
      </c>
      <c r="AD254" s="22" t="str">
        <f t="shared" ca="1" si="84"/>
        <v/>
      </c>
      <c r="AE254" s="22" t="str">
        <f t="shared" ca="1" si="84"/>
        <v/>
      </c>
      <c r="AF254" s="22" t="str">
        <f t="shared" ca="1" si="84"/>
        <v/>
      </c>
      <c r="AG254" s="22" t="str">
        <f t="shared" ca="1" si="84"/>
        <v/>
      </c>
      <c r="AH254" s="23" t="str">
        <f t="shared" ca="1" si="84"/>
        <v/>
      </c>
      <c r="AJ254" s="12" t="e">
        <f t="shared" si="69"/>
        <v>#N/A</v>
      </c>
      <c r="AK254" s="51" t="e">
        <f t="shared" si="70"/>
        <v>#N/A</v>
      </c>
      <c r="AL254" s="16" t="e">
        <f t="shared" si="71"/>
        <v>#N/A</v>
      </c>
      <c r="AM254" s="16" t="e">
        <f t="shared" si="72"/>
        <v>#N/A</v>
      </c>
      <c r="AN254" s="10" t="e">
        <f t="shared" ca="1" si="73"/>
        <v>#N/A</v>
      </c>
      <c r="AO254" s="10" t="e">
        <f t="shared" ca="1" si="74"/>
        <v>#N/A</v>
      </c>
      <c r="AP254" s="10" t="e">
        <f t="shared" si="75"/>
        <v>#N/A</v>
      </c>
      <c r="AQ254" s="10" t="e">
        <f t="shared" si="76"/>
        <v>#N/A</v>
      </c>
      <c r="AR254" s="10" t="e">
        <f t="shared" si="76"/>
        <v>#N/A</v>
      </c>
      <c r="BC254" s="29"/>
    </row>
    <row r="255" spans="2:55" x14ac:dyDescent="0.25">
      <c r="B255" s="41"/>
      <c r="C255" s="40"/>
      <c r="D255" s="63"/>
      <c r="E255" s="39"/>
      <c r="F255" s="60"/>
      <c r="G255" s="42" t="str">
        <f t="shared" si="82"/>
        <v/>
      </c>
      <c r="H255" s="45">
        <f t="shared" ca="1" si="77"/>
        <v>51</v>
      </c>
      <c r="I255" s="36">
        <f t="shared" ca="1" si="78"/>
        <v>0</v>
      </c>
      <c r="J255" s="36">
        <f t="shared" ca="1" si="79"/>
        <v>0</v>
      </c>
      <c r="L255" s="1">
        <f t="shared" ca="1" si="80"/>
        <v>0</v>
      </c>
      <c r="N255" s="21" t="str">
        <f t="shared" ca="1" si="86"/>
        <v/>
      </c>
      <c r="O255" s="22" t="str">
        <f t="shared" ca="1" si="86"/>
        <v/>
      </c>
      <c r="P255" s="22" t="str">
        <f t="shared" ca="1" si="86"/>
        <v/>
      </c>
      <c r="Q255" s="22" t="str">
        <f t="shared" ca="1" si="86"/>
        <v/>
      </c>
      <c r="R255" s="22" t="str">
        <f t="shared" ca="1" si="86"/>
        <v/>
      </c>
      <c r="S255" s="22" t="str">
        <f t="shared" ca="1" si="86"/>
        <v/>
      </c>
      <c r="T255" s="22" t="str">
        <f t="shared" ca="1" si="86"/>
        <v/>
      </c>
      <c r="U255" s="22" t="str">
        <f t="shared" ca="1" si="86"/>
        <v/>
      </c>
      <c r="V255" s="22" t="str">
        <f t="shared" ca="1" si="86"/>
        <v/>
      </c>
      <c r="W255" s="23" t="str">
        <f t="shared" ca="1" si="86"/>
        <v/>
      </c>
      <c r="Y255" s="21" t="str">
        <f t="shared" ca="1" si="85"/>
        <v/>
      </c>
      <c r="Z255" s="22" t="str">
        <f t="shared" ca="1" si="85"/>
        <v/>
      </c>
      <c r="AA255" s="22" t="str">
        <f t="shared" ca="1" si="85"/>
        <v/>
      </c>
      <c r="AB255" s="22" t="str">
        <f t="shared" ca="1" si="85"/>
        <v/>
      </c>
      <c r="AC255" s="22" t="str">
        <f t="shared" ca="1" si="85"/>
        <v/>
      </c>
      <c r="AD255" s="22" t="str">
        <f t="shared" ca="1" si="84"/>
        <v/>
      </c>
      <c r="AE255" s="22" t="str">
        <f t="shared" ca="1" si="84"/>
        <v/>
      </c>
      <c r="AF255" s="22" t="str">
        <f t="shared" ca="1" si="84"/>
        <v/>
      </c>
      <c r="AG255" s="22" t="str">
        <f t="shared" ca="1" si="84"/>
        <v/>
      </c>
      <c r="AH255" s="23" t="str">
        <f t="shared" ca="1" si="84"/>
        <v/>
      </c>
      <c r="AJ255" s="12" t="e">
        <f t="shared" si="69"/>
        <v>#N/A</v>
      </c>
      <c r="AK255" s="51" t="e">
        <f t="shared" si="70"/>
        <v>#N/A</v>
      </c>
      <c r="AL255" s="16" t="e">
        <f t="shared" si="71"/>
        <v>#N/A</v>
      </c>
      <c r="AM255" s="16" t="e">
        <f t="shared" si="72"/>
        <v>#N/A</v>
      </c>
      <c r="AN255" s="10" t="e">
        <f t="shared" ca="1" si="73"/>
        <v>#N/A</v>
      </c>
      <c r="AO255" s="10" t="e">
        <f t="shared" ca="1" si="74"/>
        <v>#N/A</v>
      </c>
      <c r="AP255" s="10" t="e">
        <f t="shared" si="75"/>
        <v>#N/A</v>
      </c>
      <c r="AQ255" s="10" t="e">
        <f t="shared" si="76"/>
        <v>#N/A</v>
      </c>
      <c r="AR255" s="10" t="e">
        <f t="shared" si="76"/>
        <v>#N/A</v>
      </c>
      <c r="BC255" s="29"/>
    </row>
    <row r="256" spans="2:55" x14ac:dyDescent="0.25">
      <c r="B256" s="41"/>
      <c r="C256" s="40"/>
      <c r="D256" s="63"/>
      <c r="E256" s="39"/>
      <c r="F256" s="60"/>
      <c r="G256" s="42" t="str">
        <f t="shared" si="82"/>
        <v/>
      </c>
      <c r="H256" s="45">
        <f t="shared" ca="1" si="77"/>
        <v>51</v>
      </c>
      <c r="I256" s="36">
        <f t="shared" ca="1" si="78"/>
        <v>0</v>
      </c>
      <c r="J256" s="36">
        <f t="shared" ca="1" si="79"/>
        <v>0</v>
      </c>
      <c r="L256" s="1">
        <f t="shared" ca="1" si="80"/>
        <v>0</v>
      </c>
      <c r="N256" s="21" t="str">
        <f t="shared" ca="1" si="86"/>
        <v/>
      </c>
      <c r="O256" s="22" t="str">
        <f t="shared" ca="1" si="86"/>
        <v/>
      </c>
      <c r="P256" s="22" t="str">
        <f t="shared" ca="1" si="86"/>
        <v/>
      </c>
      <c r="Q256" s="22" t="str">
        <f t="shared" ca="1" si="86"/>
        <v/>
      </c>
      <c r="R256" s="22" t="str">
        <f t="shared" ca="1" si="86"/>
        <v/>
      </c>
      <c r="S256" s="22" t="str">
        <f t="shared" ca="1" si="86"/>
        <v/>
      </c>
      <c r="T256" s="22" t="str">
        <f t="shared" ca="1" si="86"/>
        <v/>
      </c>
      <c r="U256" s="22" t="str">
        <f t="shared" ca="1" si="86"/>
        <v/>
      </c>
      <c r="V256" s="22" t="str">
        <f t="shared" ca="1" si="86"/>
        <v/>
      </c>
      <c r="W256" s="23" t="str">
        <f t="shared" ca="1" si="86"/>
        <v/>
      </c>
      <c r="Y256" s="21" t="str">
        <f t="shared" ca="1" si="85"/>
        <v/>
      </c>
      <c r="Z256" s="22" t="str">
        <f t="shared" ca="1" si="85"/>
        <v/>
      </c>
      <c r="AA256" s="22" t="str">
        <f t="shared" ca="1" si="85"/>
        <v/>
      </c>
      <c r="AB256" s="22" t="str">
        <f t="shared" ca="1" si="85"/>
        <v/>
      </c>
      <c r="AC256" s="22" t="str">
        <f t="shared" ca="1" si="85"/>
        <v/>
      </c>
      <c r="AD256" s="22" t="str">
        <f t="shared" ca="1" si="84"/>
        <v/>
      </c>
      <c r="AE256" s="22" t="str">
        <f t="shared" ca="1" si="84"/>
        <v/>
      </c>
      <c r="AF256" s="22" t="str">
        <f t="shared" ca="1" si="84"/>
        <v/>
      </c>
      <c r="AG256" s="22" t="str">
        <f t="shared" ca="1" si="84"/>
        <v/>
      </c>
      <c r="AH256" s="23" t="str">
        <f t="shared" ca="1" si="84"/>
        <v/>
      </c>
      <c r="AJ256" s="12" t="e">
        <f t="shared" si="69"/>
        <v>#N/A</v>
      </c>
      <c r="AK256" s="51" t="e">
        <f t="shared" si="70"/>
        <v>#N/A</v>
      </c>
      <c r="AL256" s="16" t="e">
        <f t="shared" si="71"/>
        <v>#N/A</v>
      </c>
      <c r="AM256" s="16" t="e">
        <f t="shared" si="72"/>
        <v>#N/A</v>
      </c>
      <c r="AN256" s="10" t="e">
        <f t="shared" ca="1" si="73"/>
        <v>#N/A</v>
      </c>
      <c r="AO256" s="10" t="e">
        <f t="shared" ca="1" si="74"/>
        <v>#N/A</v>
      </c>
      <c r="AP256" s="10" t="e">
        <f t="shared" si="75"/>
        <v>#N/A</v>
      </c>
      <c r="AQ256" s="10" t="e">
        <f t="shared" si="76"/>
        <v>#N/A</v>
      </c>
      <c r="AR256" s="10" t="e">
        <f t="shared" si="76"/>
        <v>#N/A</v>
      </c>
      <c r="BC256" s="29"/>
    </row>
    <row r="257" spans="2:55" x14ac:dyDescent="0.25">
      <c r="B257" s="41"/>
      <c r="C257" s="40"/>
      <c r="D257" s="63"/>
      <c r="E257" s="39"/>
      <c r="F257" s="60"/>
      <c r="G257" s="42" t="str">
        <f t="shared" si="82"/>
        <v/>
      </c>
      <c r="H257" s="45">
        <f t="shared" ca="1" si="77"/>
        <v>51</v>
      </c>
      <c r="I257" s="36">
        <f t="shared" ca="1" si="78"/>
        <v>0</v>
      </c>
      <c r="J257" s="36">
        <f t="shared" ca="1" si="79"/>
        <v>0</v>
      </c>
      <c r="L257" s="1">
        <f t="shared" ca="1" si="80"/>
        <v>0</v>
      </c>
      <c r="N257" s="21" t="str">
        <f t="shared" ca="1" si="86"/>
        <v/>
      </c>
      <c r="O257" s="22" t="str">
        <f t="shared" ca="1" si="86"/>
        <v/>
      </c>
      <c r="P257" s="22" t="str">
        <f t="shared" ca="1" si="86"/>
        <v/>
      </c>
      <c r="Q257" s="22" t="str">
        <f t="shared" ca="1" si="86"/>
        <v/>
      </c>
      <c r="R257" s="22" t="str">
        <f t="shared" ca="1" si="86"/>
        <v/>
      </c>
      <c r="S257" s="22" t="str">
        <f t="shared" ca="1" si="86"/>
        <v/>
      </c>
      <c r="T257" s="22" t="str">
        <f t="shared" ca="1" si="86"/>
        <v/>
      </c>
      <c r="U257" s="22" t="str">
        <f t="shared" ca="1" si="86"/>
        <v/>
      </c>
      <c r="V257" s="22" t="str">
        <f t="shared" ca="1" si="86"/>
        <v/>
      </c>
      <c r="W257" s="23" t="str">
        <f t="shared" ca="1" si="86"/>
        <v/>
      </c>
      <c r="Y257" s="21" t="str">
        <f t="shared" ca="1" si="85"/>
        <v/>
      </c>
      <c r="Z257" s="22" t="str">
        <f t="shared" ca="1" si="85"/>
        <v/>
      </c>
      <c r="AA257" s="22" t="str">
        <f t="shared" ca="1" si="85"/>
        <v/>
      </c>
      <c r="AB257" s="22" t="str">
        <f t="shared" ca="1" si="85"/>
        <v/>
      </c>
      <c r="AC257" s="22" t="str">
        <f t="shared" ca="1" si="85"/>
        <v/>
      </c>
      <c r="AD257" s="22" t="str">
        <f t="shared" ca="1" si="84"/>
        <v/>
      </c>
      <c r="AE257" s="22" t="str">
        <f t="shared" ca="1" si="84"/>
        <v/>
      </c>
      <c r="AF257" s="22" t="str">
        <f t="shared" ca="1" si="84"/>
        <v/>
      </c>
      <c r="AG257" s="22" t="str">
        <f t="shared" ca="1" si="84"/>
        <v/>
      </c>
      <c r="AH257" s="23" t="str">
        <f t="shared" ca="1" si="84"/>
        <v/>
      </c>
      <c r="AJ257" s="12" t="e">
        <f t="shared" si="69"/>
        <v>#N/A</v>
      </c>
      <c r="AK257" s="51" t="e">
        <f t="shared" si="70"/>
        <v>#N/A</v>
      </c>
      <c r="AL257" s="16" t="e">
        <f t="shared" si="71"/>
        <v>#N/A</v>
      </c>
      <c r="AM257" s="16" t="e">
        <f t="shared" si="72"/>
        <v>#N/A</v>
      </c>
      <c r="AN257" s="10" t="e">
        <f t="shared" ca="1" si="73"/>
        <v>#N/A</v>
      </c>
      <c r="AO257" s="10" t="e">
        <f t="shared" ca="1" si="74"/>
        <v>#N/A</v>
      </c>
      <c r="AP257" s="10" t="e">
        <f t="shared" si="75"/>
        <v>#N/A</v>
      </c>
      <c r="AQ257" s="10" t="e">
        <f t="shared" si="76"/>
        <v>#N/A</v>
      </c>
      <c r="AR257" s="10" t="e">
        <f t="shared" si="76"/>
        <v>#N/A</v>
      </c>
      <c r="BC257" s="29"/>
    </row>
    <row r="258" spans="2:55" x14ac:dyDescent="0.25">
      <c r="B258" s="41"/>
      <c r="C258" s="40"/>
      <c r="D258" s="63"/>
      <c r="E258" s="39"/>
      <c r="F258" s="60"/>
      <c r="G258" s="42" t="str">
        <f t="shared" si="82"/>
        <v/>
      </c>
      <c r="H258" s="45">
        <f t="shared" ca="1" si="77"/>
        <v>51</v>
      </c>
      <c r="I258" s="36">
        <f t="shared" ca="1" si="78"/>
        <v>0</v>
      </c>
      <c r="J258" s="36">
        <f t="shared" ca="1" si="79"/>
        <v>0</v>
      </c>
      <c r="L258" s="1">
        <f t="shared" ca="1" si="80"/>
        <v>0</v>
      </c>
      <c r="N258" s="21" t="str">
        <f t="shared" ca="1" si="86"/>
        <v/>
      </c>
      <c r="O258" s="22" t="str">
        <f t="shared" ca="1" si="86"/>
        <v/>
      </c>
      <c r="P258" s="22" t="str">
        <f t="shared" ca="1" si="86"/>
        <v/>
      </c>
      <c r="Q258" s="22" t="str">
        <f t="shared" ca="1" si="86"/>
        <v/>
      </c>
      <c r="R258" s="22" t="str">
        <f t="shared" ca="1" si="86"/>
        <v/>
      </c>
      <c r="S258" s="22" t="str">
        <f t="shared" ca="1" si="86"/>
        <v/>
      </c>
      <c r="T258" s="22" t="str">
        <f t="shared" ca="1" si="86"/>
        <v/>
      </c>
      <c r="U258" s="22" t="str">
        <f t="shared" ca="1" si="86"/>
        <v/>
      </c>
      <c r="V258" s="22" t="str">
        <f t="shared" ca="1" si="86"/>
        <v/>
      </c>
      <c r="W258" s="23" t="str">
        <f t="shared" ca="1" si="86"/>
        <v/>
      </c>
      <c r="Y258" s="21" t="str">
        <f t="shared" ca="1" si="85"/>
        <v/>
      </c>
      <c r="Z258" s="22" t="str">
        <f t="shared" ca="1" si="85"/>
        <v/>
      </c>
      <c r="AA258" s="22" t="str">
        <f t="shared" ca="1" si="85"/>
        <v/>
      </c>
      <c r="AB258" s="22" t="str">
        <f t="shared" ca="1" si="85"/>
        <v/>
      </c>
      <c r="AC258" s="22" t="str">
        <f t="shared" ca="1" si="85"/>
        <v/>
      </c>
      <c r="AD258" s="22" t="str">
        <f t="shared" ca="1" si="84"/>
        <v/>
      </c>
      <c r="AE258" s="22" t="str">
        <f t="shared" ca="1" si="84"/>
        <v/>
      </c>
      <c r="AF258" s="22" t="str">
        <f t="shared" ca="1" si="84"/>
        <v/>
      </c>
      <c r="AG258" s="22" t="str">
        <f t="shared" ca="1" si="84"/>
        <v/>
      </c>
      <c r="AH258" s="23" t="str">
        <f t="shared" ca="1" si="84"/>
        <v/>
      </c>
      <c r="AJ258" s="12" t="e">
        <f t="shared" si="69"/>
        <v>#N/A</v>
      </c>
      <c r="AK258" s="51" t="e">
        <f t="shared" si="70"/>
        <v>#N/A</v>
      </c>
      <c r="AL258" s="16" t="e">
        <f t="shared" si="71"/>
        <v>#N/A</v>
      </c>
      <c r="AM258" s="16" t="e">
        <f t="shared" si="72"/>
        <v>#N/A</v>
      </c>
      <c r="AN258" s="10" t="e">
        <f t="shared" ca="1" si="73"/>
        <v>#N/A</v>
      </c>
      <c r="AO258" s="10" t="e">
        <f t="shared" ca="1" si="74"/>
        <v>#N/A</v>
      </c>
      <c r="AP258" s="10" t="e">
        <f t="shared" si="75"/>
        <v>#N/A</v>
      </c>
      <c r="AQ258" s="10" t="e">
        <f t="shared" si="76"/>
        <v>#N/A</v>
      </c>
      <c r="AR258" s="10" t="e">
        <f t="shared" si="76"/>
        <v>#N/A</v>
      </c>
      <c r="BC258" s="29"/>
    </row>
    <row r="259" spans="2:55" x14ac:dyDescent="0.25">
      <c r="B259" s="41"/>
      <c r="C259" s="40"/>
      <c r="D259" s="63"/>
      <c r="E259" s="39"/>
      <c r="F259" s="60"/>
      <c r="G259" s="42" t="str">
        <f t="shared" si="82"/>
        <v/>
      </c>
      <c r="H259" s="45">
        <f t="shared" ca="1" si="77"/>
        <v>51</v>
      </c>
      <c r="I259" s="36">
        <f t="shared" ca="1" si="78"/>
        <v>0</v>
      </c>
      <c r="J259" s="36">
        <f t="shared" ca="1" si="79"/>
        <v>0</v>
      </c>
      <c r="L259" s="1">
        <f t="shared" ca="1" si="80"/>
        <v>0</v>
      </c>
      <c r="N259" s="21" t="str">
        <f t="shared" ca="1" si="86"/>
        <v/>
      </c>
      <c r="O259" s="22" t="str">
        <f t="shared" ca="1" si="86"/>
        <v/>
      </c>
      <c r="P259" s="22" t="str">
        <f t="shared" ca="1" si="86"/>
        <v/>
      </c>
      <c r="Q259" s="22" t="str">
        <f t="shared" ca="1" si="86"/>
        <v/>
      </c>
      <c r="R259" s="22" t="str">
        <f t="shared" ca="1" si="86"/>
        <v/>
      </c>
      <c r="S259" s="22" t="str">
        <f t="shared" ca="1" si="86"/>
        <v/>
      </c>
      <c r="T259" s="22" t="str">
        <f t="shared" ca="1" si="86"/>
        <v/>
      </c>
      <c r="U259" s="22" t="str">
        <f t="shared" ca="1" si="86"/>
        <v/>
      </c>
      <c r="V259" s="22" t="str">
        <f t="shared" ca="1" si="86"/>
        <v/>
      </c>
      <c r="W259" s="23" t="str">
        <f t="shared" ca="1" si="86"/>
        <v/>
      </c>
      <c r="Y259" s="21" t="str">
        <f t="shared" ca="1" si="85"/>
        <v/>
      </c>
      <c r="Z259" s="22" t="str">
        <f t="shared" ca="1" si="85"/>
        <v/>
      </c>
      <c r="AA259" s="22" t="str">
        <f t="shared" ca="1" si="85"/>
        <v/>
      </c>
      <c r="AB259" s="22" t="str">
        <f t="shared" ca="1" si="85"/>
        <v/>
      </c>
      <c r="AC259" s="22" t="str">
        <f t="shared" ca="1" si="85"/>
        <v/>
      </c>
      <c r="AD259" s="22" t="str">
        <f t="shared" ca="1" si="84"/>
        <v/>
      </c>
      <c r="AE259" s="22" t="str">
        <f t="shared" ca="1" si="84"/>
        <v/>
      </c>
      <c r="AF259" s="22" t="str">
        <f t="shared" ca="1" si="84"/>
        <v/>
      </c>
      <c r="AG259" s="22" t="str">
        <f t="shared" ca="1" si="84"/>
        <v/>
      </c>
      <c r="AH259" s="23" t="str">
        <f t="shared" ca="1" si="84"/>
        <v/>
      </c>
      <c r="AJ259" s="12" t="e">
        <f t="shared" si="69"/>
        <v>#N/A</v>
      </c>
      <c r="AK259" s="51" t="e">
        <f t="shared" si="70"/>
        <v>#N/A</v>
      </c>
      <c r="AL259" s="16" t="e">
        <f t="shared" si="71"/>
        <v>#N/A</v>
      </c>
      <c r="AM259" s="16" t="e">
        <f t="shared" si="72"/>
        <v>#N/A</v>
      </c>
      <c r="AN259" s="10" t="e">
        <f t="shared" ca="1" si="73"/>
        <v>#N/A</v>
      </c>
      <c r="AO259" s="10" t="e">
        <f t="shared" ca="1" si="74"/>
        <v>#N/A</v>
      </c>
      <c r="AP259" s="10" t="e">
        <f t="shared" si="75"/>
        <v>#N/A</v>
      </c>
      <c r="AQ259" s="10" t="e">
        <f t="shared" si="76"/>
        <v>#N/A</v>
      </c>
      <c r="AR259" s="10" t="e">
        <f t="shared" si="76"/>
        <v>#N/A</v>
      </c>
      <c r="BC259" s="29"/>
    </row>
    <row r="260" spans="2:55" x14ac:dyDescent="0.25">
      <c r="B260" s="41"/>
      <c r="C260" s="40"/>
      <c r="D260" s="63"/>
      <c r="E260" s="39"/>
      <c r="F260" s="60"/>
      <c r="G260" s="42" t="str">
        <f t="shared" si="82"/>
        <v/>
      </c>
      <c r="H260" s="45">
        <f t="shared" ca="1" si="77"/>
        <v>51</v>
      </c>
      <c r="I260" s="36">
        <f t="shared" ca="1" si="78"/>
        <v>0</v>
      </c>
      <c r="J260" s="36">
        <f t="shared" ca="1" si="79"/>
        <v>0</v>
      </c>
      <c r="L260" s="1">
        <f t="shared" ca="1" si="80"/>
        <v>0</v>
      </c>
      <c r="N260" s="21" t="str">
        <f t="shared" ca="1" si="86"/>
        <v/>
      </c>
      <c r="O260" s="22" t="str">
        <f t="shared" ca="1" si="86"/>
        <v/>
      </c>
      <c r="P260" s="22" t="str">
        <f t="shared" ca="1" si="86"/>
        <v/>
      </c>
      <c r="Q260" s="22" t="str">
        <f t="shared" ca="1" si="86"/>
        <v/>
      </c>
      <c r="R260" s="22" t="str">
        <f t="shared" ca="1" si="86"/>
        <v/>
      </c>
      <c r="S260" s="22" t="str">
        <f t="shared" ca="1" si="86"/>
        <v/>
      </c>
      <c r="T260" s="22" t="str">
        <f t="shared" ca="1" si="86"/>
        <v/>
      </c>
      <c r="U260" s="22" t="str">
        <f t="shared" ca="1" si="86"/>
        <v/>
      </c>
      <c r="V260" s="22" t="str">
        <f t="shared" ca="1" si="86"/>
        <v/>
      </c>
      <c r="W260" s="23" t="str">
        <f t="shared" ca="1" si="86"/>
        <v/>
      </c>
      <c r="Y260" s="21" t="str">
        <f t="shared" ca="1" si="85"/>
        <v/>
      </c>
      <c r="Z260" s="22" t="str">
        <f t="shared" ca="1" si="85"/>
        <v/>
      </c>
      <c r="AA260" s="22" t="str">
        <f t="shared" ca="1" si="85"/>
        <v/>
      </c>
      <c r="AB260" s="22" t="str">
        <f t="shared" ca="1" si="85"/>
        <v/>
      </c>
      <c r="AC260" s="22" t="str">
        <f t="shared" ca="1" si="85"/>
        <v/>
      </c>
      <c r="AD260" s="22" t="str">
        <f t="shared" ca="1" si="84"/>
        <v/>
      </c>
      <c r="AE260" s="22" t="str">
        <f t="shared" ca="1" si="84"/>
        <v/>
      </c>
      <c r="AF260" s="22" t="str">
        <f t="shared" ca="1" si="84"/>
        <v/>
      </c>
      <c r="AG260" s="22" t="str">
        <f t="shared" ca="1" si="84"/>
        <v/>
      </c>
      <c r="AH260" s="23" t="str">
        <f t="shared" ca="1" si="84"/>
        <v/>
      </c>
      <c r="AJ260" s="12" t="e">
        <f t="shared" si="69"/>
        <v>#N/A</v>
      </c>
      <c r="AK260" s="51" t="e">
        <f t="shared" si="70"/>
        <v>#N/A</v>
      </c>
      <c r="AL260" s="16" t="e">
        <f t="shared" si="71"/>
        <v>#N/A</v>
      </c>
      <c r="AM260" s="16" t="e">
        <f t="shared" si="72"/>
        <v>#N/A</v>
      </c>
      <c r="AN260" s="10" t="e">
        <f t="shared" ca="1" si="73"/>
        <v>#N/A</v>
      </c>
      <c r="AO260" s="10" t="e">
        <f t="shared" ca="1" si="74"/>
        <v>#N/A</v>
      </c>
      <c r="AP260" s="10" t="e">
        <f t="shared" si="75"/>
        <v>#N/A</v>
      </c>
      <c r="AQ260" s="10" t="e">
        <f t="shared" si="76"/>
        <v>#N/A</v>
      </c>
      <c r="AR260" s="10" t="e">
        <f t="shared" si="76"/>
        <v>#N/A</v>
      </c>
      <c r="BC260" s="29"/>
    </row>
    <row r="261" spans="2:55" x14ac:dyDescent="0.25">
      <c r="B261" s="41"/>
      <c r="C261" s="40"/>
      <c r="D261" s="63"/>
      <c r="E261" s="39"/>
      <c r="F261" s="60"/>
      <c r="G261" s="42" t="str">
        <f t="shared" si="82"/>
        <v/>
      </c>
      <c r="H261" s="45">
        <f t="shared" ca="1" si="77"/>
        <v>51</v>
      </c>
      <c r="I261" s="36">
        <f t="shared" ca="1" si="78"/>
        <v>0</v>
      </c>
      <c r="J261" s="36">
        <f t="shared" ca="1" si="79"/>
        <v>0</v>
      </c>
      <c r="L261" s="1">
        <f t="shared" ca="1" si="80"/>
        <v>0</v>
      </c>
      <c r="N261" s="21" t="str">
        <f t="shared" ca="1" si="86"/>
        <v/>
      </c>
      <c r="O261" s="22" t="str">
        <f t="shared" ca="1" si="86"/>
        <v/>
      </c>
      <c r="P261" s="22" t="str">
        <f t="shared" ca="1" si="86"/>
        <v/>
      </c>
      <c r="Q261" s="22" t="str">
        <f t="shared" ca="1" si="86"/>
        <v/>
      </c>
      <c r="R261" s="22" t="str">
        <f t="shared" ca="1" si="86"/>
        <v/>
      </c>
      <c r="S261" s="22" t="str">
        <f t="shared" ca="1" si="86"/>
        <v/>
      </c>
      <c r="T261" s="22" t="str">
        <f t="shared" ca="1" si="86"/>
        <v/>
      </c>
      <c r="U261" s="22" t="str">
        <f t="shared" ca="1" si="86"/>
        <v/>
      </c>
      <c r="V261" s="22" t="str">
        <f t="shared" ca="1" si="86"/>
        <v/>
      </c>
      <c r="W261" s="23" t="str">
        <f t="shared" ca="1" si="86"/>
        <v/>
      </c>
      <c r="Y261" s="21" t="str">
        <f t="shared" ca="1" si="85"/>
        <v/>
      </c>
      <c r="Z261" s="22" t="str">
        <f t="shared" ca="1" si="85"/>
        <v/>
      </c>
      <c r="AA261" s="22" t="str">
        <f t="shared" ca="1" si="85"/>
        <v/>
      </c>
      <c r="AB261" s="22" t="str">
        <f t="shared" ca="1" si="85"/>
        <v/>
      </c>
      <c r="AC261" s="22" t="str">
        <f t="shared" ca="1" si="85"/>
        <v/>
      </c>
      <c r="AD261" s="22" t="str">
        <f t="shared" ca="1" si="84"/>
        <v/>
      </c>
      <c r="AE261" s="22" t="str">
        <f t="shared" ca="1" si="84"/>
        <v/>
      </c>
      <c r="AF261" s="22" t="str">
        <f t="shared" ca="1" si="84"/>
        <v/>
      </c>
      <c r="AG261" s="22" t="str">
        <f t="shared" ca="1" si="84"/>
        <v/>
      </c>
      <c r="AH261" s="23" t="str">
        <f t="shared" ca="1" si="84"/>
        <v/>
      </c>
      <c r="AJ261" s="12" t="e">
        <f t="shared" si="69"/>
        <v>#N/A</v>
      </c>
      <c r="AK261" s="51" t="e">
        <f t="shared" si="70"/>
        <v>#N/A</v>
      </c>
      <c r="AL261" s="16" t="e">
        <f t="shared" si="71"/>
        <v>#N/A</v>
      </c>
      <c r="AM261" s="16" t="e">
        <f t="shared" si="72"/>
        <v>#N/A</v>
      </c>
      <c r="AN261" s="10" t="e">
        <f t="shared" ca="1" si="73"/>
        <v>#N/A</v>
      </c>
      <c r="AO261" s="10" t="e">
        <f t="shared" ca="1" si="74"/>
        <v>#N/A</v>
      </c>
      <c r="AP261" s="10" t="e">
        <f t="shared" si="75"/>
        <v>#N/A</v>
      </c>
      <c r="AQ261" s="10" t="e">
        <f t="shared" si="76"/>
        <v>#N/A</v>
      </c>
      <c r="AR261" s="10" t="e">
        <f t="shared" si="76"/>
        <v>#N/A</v>
      </c>
      <c r="BC261" s="29"/>
    </row>
    <row r="262" spans="2:55" x14ac:dyDescent="0.25">
      <c r="B262" s="41"/>
      <c r="C262" s="40"/>
      <c r="D262" s="63"/>
      <c r="E262" s="39"/>
      <c r="F262" s="60"/>
      <c r="G262" s="42" t="str">
        <f t="shared" si="82"/>
        <v/>
      </c>
      <c r="H262" s="45">
        <f t="shared" ca="1" si="77"/>
        <v>51</v>
      </c>
      <c r="I262" s="36">
        <f t="shared" ca="1" si="78"/>
        <v>0</v>
      </c>
      <c r="J262" s="36">
        <f t="shared" ca="1" si="79"/>
        <v>0</v>
      </c>
      <c r="L262" s="1">
        <f t="shared" ca="1" si="80"/>
        <v>0</v>
      </c>
      <c r="N262" s="21" t="str">
        <f t="shared" ca="1" si="86"/>
        <v/>
      </c>
      <c r="O262" s="22" t="str">
        <f t="shared" ca="1" si="86"/>
        <v/>
      </c>
      <c r="P262" s="22" t="str">
        <f t="shared" ca="1" si="86"/>
        <v/>
      </c>
      <c r="Q262" s="22" t="str">
        <f t="shared" ca="1" si="86"/>
        <v/>
      </c>
      <c r="R262" s="22" t="str">
        <f t="shared" ca="1" si="86"/>
        <v/>
      </c>
      <c r="S262" s="22" t="str">
        <f t="shared" ca="1" si="86"/>
        <v/>
      </c>
      <c r="T262" s="22" t="str">
        <f t="shared" ca="1" si="86"/>
        <v/>
      </c>
      <c r="U262" s="22" t="str">
        <f t="shared" ca="1" si="86"/>
        <v/>
      </c>
      <c r="V262" s="22" t="str">
        <f t="shared" ca="1" si="86"/>
        <v/>
      </c>
      <c r="W262" s="23" t="str">
        <f t="shared" ca="1" si="86"/>
        <v/>
      </c>
      <c r="Y262" s="21" t="str">
        <f t="shared" ca="1" si="85"/>
        <v/>
      </c>
      <c r="Z262" s="22" t="str">
        <f t="shared" ca="1" si="85"/>
        <v/>
      </c>
      <c r="AA262" s="22" t="str">
        <f t="shared" ca="1" si="85"/>
        <v/>
      </c>
      <c r="AB262" s="22" t="str">
        <f t="shared" ca="1" si="85"/>
        <v/>
      </c>
      <c r="AC262" s="22" t="str">
        <f t="shared" ca="1" si="85"/>
        <v/>
      </c>
      <c r="AD262" s="22" t="str">
        <f t="shared" ca="1" si="84"/>
        <v/>
      </c>
      <c r="AE262" s="22" t="str">
        <f t="shared" ca="1" si="84"/>
        <v/>
      </c>
      <c r="AF262" s="22" t="str">
        <f t="shared" ca="1" si="84"/>
        <v/>
      </c>
      <c r="AG262" s="22" t="str">
        <f t="shared" ca="1" si="84"/>
        <v/>
      </c>
      <c r="AH262" s="23" t="str">
        <f t="shared" ca="1" si="84"/>
        <v/>
      </c>
      <c r="AJ262" s="12" t="e">
        <f t="shared" si="69"/>
        <v>#N/A</v>
      </c>
      <c r="AK262" s="51" t="e">
        <f t="shared" si="70"/>
        <v>#N/A</v>
      </c>
      <c r="AL262" s="16" t="e">
        <f t="shared" si="71"/>
        <v>#N/A</v>
      </c>
      <c r="AM262" s="16" t="e">
        <f t="shared" si="72"/>
        <v>#N/A</v>
      </c>
      <c r="AN262" s="10" t="e">
        <f t="shared" ca="1" si="73"/>
        <v>#N/A</v>
      </c>
      <c r="AO262" s="10" t="e">
        <f t="shared" ca="1" si="74"/>
        <v>#N/A</v>
      </c>
      <c r="AP262" s="10" t="e">
        <f t="shared" si="75"/>
        <v>#N/A</v>
      </c>
      <c r="AQ262" s="10" t="e">
        <f t="shared" si="76"/>
        <v>#N/A</v>
      </c>
      <c r="AR262" s="10" t="e">
        <f t="shared" si="76"/>
        <v>#N/A</v>
      </c>
      <c r="BC262" s="29"/>
    </row>
    <row r="263" spans="2:55" x14ac:dyDescent="0.25">
      <c r="B263" s="41"/>
      <c r="C263" s="40"/>
      <c r="D263" s="63"/>
      <c r="E263" s="39"/>
      <c r="F263" s="60"/>
      <c r="G263" s="42" t="str">
        <f t="shared" si="82"/>
        <v/>
      </c>
      <c r="H263" s="45">
        <f t="shared" ca="1" si="77"/>
        <v>51</v>
      </c>
      <c r="I263" s="36">
        <f t="shared" ca="1" si="78"/>
        <v>0</v>
      </c>
      <c r="J263" s="36">
        <f t="shared" ca="1" si="79"/>
        <v>0</v>
      </c>
      <c r="L263" s="1">
        <f t="shared" ca="1" si="80"/>
        <v>0</v>
      </c>
      <c r="N263" s="21" t="str">
        <f t="shared" ca="1" si="86"/>
        <v/>
      </c>
      <c r="O263" s="22" t="str">
        <f t="shared" ca="1" si="86"/>
        <v/>
      </c>
      <c r="P263" s="22" t="str">
        <f t="shared" ca="1" si="86"/>
        <v/>
      </c>
      <c r="Q263" s="22" t="str">
        <f t="shared" ca="1" si="86"/>
        <v/>
      </c>
      <c r="R263" s="22" t="str">
        <f t="shared" ca="1" si="86"/>
        <v/>
      </c>
      <c r="S263" s="22" t="str">
        <f t="shared" ca="1" si="86"/>
        <v/>
      </c>
      <c r="T263" s="22" t="str">
        <f t="shared" ca="1" si="86"/>
        <v/>
      </c>
      <c r="U263" s="22" t="str">
        <f t="shared" ca="1" si="86"/>
        <v/>
      </c>
      <c r="V263" s="22" t="str">
        <f t="shared" ca="1" si="86"/>
        <v/>
      </c>
      <c r="W263" s="23" t="str">
        <f t="shared" ca="1" si="86"/>
        <v/>
      </c>
      <c r="Y263" s="21" t="str">
        <f t="shared" ca="1" si="85"/>
        <v/>
      </c>
      <c r="Z263" s="22" t="str">
        <f t="shared" ca="1" si="85"/>
        <v/>
      </c>
      <c r="AA263" s="22" t="str">
        <f t="shared" ca="1" si="85"/>
        <v/>
      </c>
      <c r="AB263" s="22" t="str">
        <f t="shared" ca="1" si="85"/>
        <v/>
      </c>
      <c r="AC263" s="22" t="str">
        <f t="shared" ca="1" si="85"/>
        <v/>
      </c>
      <c r="AD263" s="22" t="str">
        <f t="shared" ca="1" si="84"/>
        <v/>
      </c>
      <c r="AE263" s="22" t="str">
        <f t="shared" ca="1" si="84"/>
        <v/>
      </c>
      <c r="AF263" s="22" t="str">
        <f t="shared" ca="1" si="84"/>
        <v/>
      </c>
      <c r="AG263" s="22" t="str">
        <f t="shared" ca="1" si="84"/>
        <v/>
      </c>
      <c r="AH263" s="23" t="str">
        <f t="shared" ca="1" si="84"/>
        <v/>
      </c>
      <c r="AJ263" s="12" t="e">
        <f t="shared" si="69"/>
        <v>#N/A</v>
      </c>
      <c r="AK263" s="51" t="e">
        <f t="shared" si="70"/>
        <v>#N/A</v>
      </c>
      <c r="AL263" s="16" t="e">
        <f t="shared" si="71"/>
        <v>#N/A</v>
      </c>
      <c r="AM263" s="16" t="e">
        <f t="shared" si="72"/>
        <v>#N/A</v>
      </c>
      <c r="AN263" s="10" t="e">
        <f t="shared" ca="1" si="73"/>
        <v>#N/A</v>
      </c>
      <c r="AO263" s="10" t="e">
        <f t="shared" ca="1" si="74"/>
        <v>#N/A</v>
      </c>
      <c r="AP263" s="10" t="e">
        <f t="shared" si="75"/>
        <v>#N/A</v>
      </c>
      <c r="AQ263" s="10" t="e">
        <f t="shared" si="76"/>
        <v>#N/A</v>
      </c>
      <c r="AR263" s="10" t="e">
        <f t="shared" si="76"/>
        <v>#N/A</v>
      </c>
      <c r="BC263" s="29"/>
    </row>
    <row r="264" spans="2:55" x14ac:dyDescent="0.25">
      <c r="B264" s="41"/>
      <c r="C264" s="40"/>
      <c r="D264" s="63"/>
      <c r="E264" s="39"/>
      <c r="F264" s="60"/>
      <c r="G264" s="42" t="str">
        <f t="shared" si="82"/>
        <v/>
      </c>
      <c r="H264" s="45">
        <f t="shared" ca="1" si="77"/>
        <v>51</v>
      </c>
      <c r="I264" s="36">
        <f t="shared" ca="1" si="78"/>
        <v>0</v>
      </c>
      <c r="J264" s="36">
        <f t="shared" ca="1" si="79"/>
        <v>0</v>
      </c>
      <c r="L264" s="1">
        <f t="shared" ca="1" si="80"/>
        <v>0</v>
      </c>
      <c r="N264" s="21" t="str">
        <f t="shared" ca="1" si="86"/>
        <v/>
      </c>
      <c r="O264" s="22" t="str">
        <f t="shared" ca="1" si="86"/>
        <v/>
      </c>
      <c r="P264" s="22" t="str">
        <f t="shared" ca="1" si="86"/>
        <v/>
      </c>
      <c r="Q264" s="22" t="str">
        <f t="shared" ca="1" si="86"/>
        <v/>
      </c>
      <c r="R264" s="22" t="str">
        <f t="shared" ca="1" si="86"/>
        <v/>
      </c>
      <c r="S264" s="22" t="str">
        <f t="shared" ca="1" si="86"/>
        <v/>
      </c>
      <c r="T264" s="22" t="str">
        <f t="shared" ca="1" si="86"/>
        <v/>
      </c>
      <c r="U264" s="22" t="str">
        <f t="shared" ca="1" si="86"/>
        <v/>
      </c>
      <c r="V264" s="22" t="str">
        <f t="shared" ca="1" si="86"/>
        <v/>
      </c>
      <c r="W264" s="23" t="str">
        <f t="shared" ca="1" si="86"/>
        <v/>
      </c>
      <c r="Y264" s="21" t="str">
        <f t="shared" ca="1" si="85"/>
        <v/>
      </c>
      <c r="Z264" s="22" t="str">
        <f t="shared" ca="1" si="85"/>
        <v/>
      </c>
      <c r="AA264" s="22" t="str">
        <f t="shared" ca="1" si="85"/>
        <v/>
      </c>
      <c r="AB264" s="22" t="str">
        <f t="shared" ca="1" si="85"/>
        <v/>
      </c>
      <c r="AC264" s="22" t="str">
        <f t="shared" ca="1" si="85"/>
        <v/>
      </c>
      <c r="AD264" s="22" t="str">
        <f t="shared" ca="1" si="84"/>
        <v/>
      </c>
      <c r="AE264" s="22" t="str">
        <f t="shared" ca="1" si="84"/>
        <v/>
      </c>
      <c r="AF264" s="22" t="str">
        <f t="shared" ca="1" si="84"/>
        <v/>
      </c>
      <c r="AG264" s="22" t="str">
        <f t="shared" ca="1" si="84"/>
        <v/>
      </c>
      <c r="AH264" s="23" t="str">
        <f t="shared" ca="1" si="84"/>
        <v/>
      </c>
      <c r="AJ264" s="12" t="e">
        <f t="shared" si="69"/>
        <v>#N/A</v>
      </c>
      <c r="AK264" s="51" t="e">
        <f t="shared" si="70"/>
        <v>#N/A</v>
      </c>
      <c r="AL264" s="16" t="e">
        <f t="shared" si="71"/>
        <v>#N/A</v>
      </c>
      <c r="AM264" s="16" t="e">
        <f t="shared" si="72"/>
        <v>#N/A</v>
      </c>
      <c r="AN264" s="10" t="e">
        <f t="shared" ca="1" si="73"/>
        <v>#N/A</v>
      </c>
      <c r="AO264" s="10" t="e">
        <f t="shared" ca="1" si="74"/>
        <v>#N/A</v>
      </c>
      <c r="AP264" s="10" t="e">
        <f t="shared" si="75"/>
        <v>#N/A</v>
      </c>
      <c r="AQ264" s="10" t="e">
        <f t="shared" si="76"/>
        <v>#N/A</v>
      </c>
      <c r="AR264" s="10" t="e">
        <f t="shared" si="76"/>
        <v>#N/A</v>
      </c>
      <c r="BC264" s="29"/>
    </row>
    <row r="265" spans="2:55" x14ac:dyDescent="0.25">
      <c r="B265" s="41"/>
      <c r="C265" s="40"/>
      <c r="D265" s="63"/>
      <c r="E265" s="39"/>
      <c r="F265" s="60"/>
      <c r="G265" s="42" t="str">
        <f t="shared" si="82"/>
        <v/>
      </c>
      <c r="H265" s="45">
        <f t="shared" ca="1" si="77"/>
        <v>51</v>
      </c>
      <c r="I265" s="36">
        <f t="shared" ca="1" si="78"/>
        <v>0</v>
      </c>
      <c r="J265" s="36">
        <f t="shared" ca="1" si="79"/>
        <v>0</v>
      </c>
      <c r="L265" s="1">
        <f t="shared" ca="1" si="80"/>
        <v>0</v>
      </c>
      <c r="N265" s="21" t="str">
        <f t="shared" ca="1" si="86"/>
        <v/>
      </c>
      <c r="O265" s="22" t="str">
        <f t="shared" ca="1" si="86"/>
        <v/>
      </c>
      <c r="P265" s="22" t="str">
        <f t="shared" ca="1" si="86"/>
        <v/>
      </c>
      <c r="Q265" s="22" t="str">
        <f t="shared" ca="1" si="86"/>
        <v/>
      </c>
      <c r="R265" s="22" t="str">
        <f t="shared" ca="1" si="86"/>
        <v/>
      </c>
      <c r="S265" s="22" t="str">
        <f t="shared" ca="1" si="86"/>
        <v/>
      </c>
      <c r="T265" s="22" t="str">
        <f t="shared" ca="1" si="86"/>
        <v/>
      </c>
      <c r="U265" s="22" t="str">
        <f t="shared" ca="1" si="86"/>
        <v/>
      </c>
      <c r="V265" s="22" t="str">
        <f t="shared" ca="1" si="86"/>
        <v/>
      </c>
      <c r="W265" s="23" t="str">
        <f t="shared" ca="1" si="86"/>
        <v/>
      </c>
      <c r="Y265" s="21" t="str">
        <f t="shared" ca="1" si="85"/>
        <v/>
      </c>
      <c r="Z265" s="22" t="str">
        <f t="shared" ca="1" si="85"/>
        <v/>
      </c>
      <c r="AA265" s="22" t="str">
        <f t="shared" ca="1" si="85"/>
        <v/>
      </c>
      <c r="AB265" s="22" t="str">
        <f t="shared" ca="1" si="85"/>
        <v/>
      </c>
      <c r="AC265" s="22" t="str">
        <f t="shared" ca="1" si="85"/>
        <v/>
      </c>
      <c r="AD265" s="22" t="str">
        <f t="shared" ca="1" si="84"/>
        <v/>
      </c>
      <c r="AE265" s="22" t="str">
        <f t="shared" ca="1" si="84"/>
        <v/>
      </c>
      <c r="AF265" s="22" t="str">
        <f t="shared" ca="1" si="84"/>
        <v/>
      </c>
      <c r="AG265" s="22" t="str">
        <f t="shared" ca="1" si="84"/>
        <v/>
      </c>
      <c r="AH265" s="23" t="str">
        <f t="shared" ca="1" si="84"/>
        <v/>
      </c>
      <c r="AJ265" s="12" t="e">
        <f t="shared" si="69"/>
        <v>#N/A</v>
      </c>
      <c r="AK265" s="51" t="e">
        <f t="shared" si="70"/>
        <v>#N/A</v>
      </c>
      <c r="AL265" s="16" t="e">
        <f t="shared" si="71"/>
        <v>#N/A</v>
      </c>
      <c r="AM265" s="16" t="e">
        <f t="shared" si="72"/>
        <v>#N/A</v>
      </c>
      <c r="AN265" s="10" t="e">
        <f t="shared" ca="1" si="73"/>
        <v>#N/A</v>
      </c>
      <c r="AO265" s="10" t="e">
        <f t="shared" ca="1" si="74"/>
        <v>#N/A</v>
      </c>
      <c r="AP265" s="10" t="e">
        <f t="shared" si="75"/>
        <v>#N/A</v>
      </c>
      <c r="AQ265" s="10" t="e">
        <f t="shared" si="76"/>
        <v>#N/A</v>
      </c>
      <c r="AR265" s="10" t="e">
        <f t="shared" si="76"/>
        <v>#N/A</v>
      </c>
      <c r="BC265" s="29"/>
    </row>
    <row r="266" spans="2:55" x14ac:dyDescent="0.25">
      <c r="B266" s="41"/>
      <c r="C266" s="40"/>
      <c r="D266" s="63"/>
      <c r="E266" s="39"/>
      <c r="F266" s="60"/>
      <c r="G266" s="42" t="str">
        <f t="shared" si="82"/>
        <v/>
      </c>
      <c r="H266" s="45">
        <f t="shared" ca="1" si="77"/>
        <v>51</v>
      </c>
      <c r="I266" s="36">
        <f t="shared" ca="1" si="78"/>
        <v>0</v>
      </c>
      <c r="J266" s="36">
        <f t="shared" ca="1" si="79"/>
        <v>0</v>
      </c>
      <c r="L266" s="1">
        <f t="shared" ca="1" si="80"/>
        <v>0</v>
      </c>
      <c r="N266" s="21" t="str">
        <f t="shared" ca="1" si="86"/>
        <v/>
      </c>
      <c r="O266" s="22" t="str">
        <f t="shared" ca="1" si="86"/>
        <v/>
      </c>
      <c r="P266" s="22" t="str">
        <f t="shared" ca="1" si="86"/>
        <v/>
      </c>
      <c r="Q266" s="22" t="str">
        <f t="shared" ca="1" si="86"/>
        <v/>
      </c>
      <c r="R266" s="22" t="str">
        <f t="shared" ca="1" si="86"/>
        <v/>
      </c>
      <c r="S266" s="22" t="str">
        <f t="shared" ca="1" si="86"/>
        <v/>
      </c>
      <c r="T266" s="22" t="str">
        <f t="shared" ca="1" si="86"/>
        <v/>
      </c>
      <c r="U266" s="22" t="str">
        <f t="shared" ca="1" si="86"/>
        <v/>
      </c>
      <c r="V266" s="22" t="str">
        <f t="shared" ca="1" si="86"/>
        <v/>
      </c>
      <c r="W266" s="23" t="str">
        <f t="shared" ca="1" si="86"/>
        <v/>
      </c>
      <c r="Y266" s="21" t="str">
        <f t="shared" ca="1" si="85"/>
        <v/>
      </c>
      <c r="Z266" s="22" t="str">
        <f t="shared" ca="1" si="85"/>
        <v/>
      </c>
      <c r="AA266" s="22" t="str">
        <f t="shared" ca="1" si="85"/>
        <v/>
      </c>
      <c r="AB266" s="22" t="str">
        <f t="shared" ca="1" si="85"/>
        <v/>
      </c>
      <c r="AC266" s="22" t="str">
        <f t="shared" ca="1" si="85"/>
        <v/>
      </c>
      <c r="AD266" s="22" t="str">
        <f t="shared" ca="1" si="84"/>
        <v/>
      </c>
      <c r="AE266" s="22" t="str">
        <f t="shared" ca="1" si="84"/>
        <v/>
      </c>
      <c r="AF266" s="22" t="str">
        <f t="shared" ca="1" si="84"/>
        <v/>
      </c>
      <c r="AG266" s="22" t="str">
        <f t="shared" ca="1" si="84"/>
        <v/>
      </c>
      <c r="AH266" s="23" t="str">
        <f t="shared" ca="1" si="84"/>
        <v/>
      </c>
      <c r="AJ266" s="12" t="e">
        <f t="shared" si="69"/>
        <v>#N/A</v>
      </c>
      <c r="AK266" s="51" t="e">
        <f t="shared" si="70"/>
        <v>#N/A</v>
      </c>
      <c r="AL266" s="16" t="e">
        <f t="shared" si="71"/>
        <v>#N/A</v>
      </c>
      <c r="AM266" s="16" t="e">
        <f t="shared" si="72"/>
        <v>#N/A</v>
      </c>
      <c r="AN266" s="10" t="e">
        <f t="shared" ca="1" si="73"/>
        <v>#N/A</v>
      </c>
      <c r="AO266" s="10" t="e">
        <f t="shared" ca="1" si="74"/>
        <v>#N/A</v>
      </c>
      <c r="AP266" s="10" t="e">
        <f t="shared" si="75"/>
        <v>#N/A</v>
      </c>
      <c r="AQ266" s="10" t="e">
        <f t="shared" si="76"/>
        <v>#N/A</v>
      </c>
      <c r="AR266" s="10" t="e">
        <f t="shared" si="76"/>
        <v>#N/A</v>
      </c>
      <c r="BC266" s="29"/>
    </row>
    <row r="267" spans="2:55" x14ac:dyDescent="0.25">
      <c r="B267" s="41"/>
      <c r="C267" s="40"/>
      <c r="D267" s="63"/>
      <c r="E267" s="39"/>
      <c r="F267" s="60"/>
      <c r="G267" s="42" t="str">
        <f t="shared" si="82"/>
        <v/>
      </c>
      <c r="H267" s="45">
        <f t="shared" ca="1" si="77"/>
        <v>51</v>
      </c>
      <c r="I267" s="36">
        <f t="shared" ca="1" si="78"/>
        <v>0</v>
      </c>
      <c r="J267" s="36">
        <f t="shared" ca="1" si="79"/>
        <v>0</v>
      </c>
      <c r="L267" s="1">
        <f t="shared" ca="1" si="80"/>
        <v>0</v>
      </c>
      <c r="N267" s="21" t="str">
        <f t="shared" ref="N267:W282" ca="1" si="87">IF(ISNUMBER($C267),IF($G267&lt;=$C$9,IF($L267=N$25,$C267,""),IF(COUNT(INDIRECT(ADDRESS(ROW(N$26),COLUMN())&amp;":"&amp;ADDRESS(ROW()-1,COLUMN())))&gt;$C$13,"",IF($L267=N$25,$C267,""))),"")</f>
        <v/>
      </c>
      <c r="O267" s="22" t="str">
        <f t="shared" ca="1" si="87"/>
        <v/>
      </c>
      <c r="P267" s="22" t="str">
        <f t="shared" ca="1" si="87"/>
        <v/>
      </c>
      <c r="Q267" s="22" t="str">
        <f t="shared" ca="1" si="87"/>
        <v/>
      </c>
      <c r="R267" s="22" t="str">
        <f t="shared" ca="1" si="87"/>
        <v/>
      </c>
      <c r="S267" s="22" t="str">
        <f t="shared" ca="1" si="87"/>
        <v/>
      </c>
      <c r="T267" s="22" t="str">
        <f t="shared" ca="1" si="87"/>
        <v/>
      </c>
      <c r="U267" s="22" t="str">
        <f t="shared" ca="1" si="87"/>
        <v/>
      </c>
      <c r="V267" s="22" t="str">
        <f t="shared" ca="1" si="87"/>
        <v/>
      </c>
      <c r="W267" s="23" t="str">
        <f t="shared" ca="1" si="87"/>
        <v/>
      </c>
      <c r="Y267" s="21" t="str">
        <f t="shared" ca="1" si="85"/>
        <v/>
      </c>
      <c r="Z267" s="22" t="str">
        <f t="shared" ca="1" si="85"/>
        <v/>
      </c>
      <c r="AA267" s="22" t="str">
        <f t="shared" ca="1" si="85"/>
        <v/>
      </c>
      <c r="AB267" s="22" t="str">
        <f t="shared" ca="1" si="85"/>
        <v/>
      </c>
      <c r="AC267" s="22" t="str">
        <f t="shared" ca="1" si="85"/>
        <v/>
      </c>
      <c r="AD267" s="22" t="str">
        <f t="shared" ca="1" si="84"/>
        <v/>
      </c>
      <c r="AE267" s="22" t="str">
        <f t="shared" ca="1" si="84"/>
        <v/>
      </c>
      <c r="AF267" s="22" t="str">
        <f t="shared" ca="1" si="84"/>
        <v/>
      </c>
      <c r="AG267" s="22" t="str">
        <f t="shared" ca="1" si="84"/>
        <v/>
      </c>
      <c r="AH267" s="23" t="str">
        <f t="shared" ca="1" si="84"/>
        <v/>
      </c>
      <c r="AJ267" s="12" t="e">
        <f t="shared" si="69"/>
        <v>#N/A</v>
      </c>
      <c r="AK267" s="51" t="e">
        <f t="shared" si="70"/>
        <v>#N/A</v>
      </c>
      <c r="AL267" s="16" t="e">
        <f t="shared" si="71"/>
        <v>#N/A</v>
      </c>
      <c r="AM267" s="16" t="e">
        <f t="shared" si="72"/>
        <v>#N/A</v>
      </c>
      <c r="AN267" s="10" t="e">
        <f t="shared" ca="1" si="73"/>
        <v>#N/A</v>
      </c>
      <c r="AO267" s="10" t="e">
        <f t="shared" ca="1" si="74"/>
        <v>#N/A</v>
      </c>
      <c r="AP267" s="10" t="e">
        <f t="shared" si="75"/>
        <v>#N/A</v>
      </c>
      <c r="AQ267" s="10" t="e">
        <f t="shared" si="76"/>
        <v>#N/A</v>
      </c>
      <c r="AR267" s="10" t="e">
        <f t="shared" si="76"/>
        <v>#N/A</v>
      </c>
      <c r="BC267" s="29"/>
    </row>
    <row r="268" spans="2:55" x14ac:dyDescent="0.25">
      <c r="B268" s="41"/>
      <c r="C268" s="40"/>
      <c r="D268" s="63"/>
      <c r="E268" s="39"/>
      <c r="F268" s="60"/>
      <c r="G268" s="42" t="str">
        <f t="shared" si="82"/>
        <v/>
      </c>
      <c r="H268" s="45">
        <f t="shared" ca="1" si="77"/>
        <v>51</v>
      </c>
      <c r="I268" s="36">
        <f t="shared" ca="1" si="78"/>
        <v>0</v>
      </c>
      <c r="J268" s="36">
        <f t="shared" ca="1" si="79"/>
        <v>0</v>
      </c>
      <c r="L268" s="1">
        <f t="shared" ca="1" si="80"/>
        <v>0</v>
      </c>
      <c r="N268" s="21" t="str">
        <f t="shared" ca="1" si="87"/>
        <v/>
      </c>
      <c r="O268" s="22" t="str">
        <f t="shared" ca="1" si="87"/>
        <v/>
      </c>
      <c r="P268" s="22" t="str">
        <f t="shared" ca="1" si="87"/>
        <v/>
      </c>
      <c r="Q268" s="22" t="str">
        <f t="shared" ca="1" si="87"/>
        <v/>
      </c>
      <c r="R268" s="22" t="str">
        <f t="shared" ca="1" si="87"/>
        <v/>
      </c>
      <c r="S268" s="22" t="str">
        <f t="shared" ca="1" si="87"/>
        <v/>
      </c>
      <c r="T268" s="22" t="str">
        <f t="shared" ca="1" si="87"/>
        <v/>
      </c>
      <c r="U268" s="22" t="str">
        <f t="shared" ca="1" si="87"/>
        <v/>
      </c>
      <c r="V268" s="22" t="str">
        <f t="shared" ca="1" si="87"/>
        <v/>
      </c>
      <c r="W268" s="23" t="str">
        <f t="shared" ca="1" si="87"/>
        <v/>
      </c>
      <c r="Y268" s="21" t="str">
        <f t="shared" ca="1" si="85"/>
        <v/>
      </c>
      <c r="Z268" s="22" t="str">
        <f t="shared" ca="1" si="85"/>
        <v/>
      </c>
      <c r="AA268" s="22" t="str">
        <f t="shared" ca="1" si="85"/>
        <v/>
      </c>
      <c r="AB268" s="22" t="str">
        <f t="shared" ca="1" si="85"/>
        <v/>
      </c>
      <c r="AC268" s="22" t="str">
        <f t="shared" ca="1" si="85"/>
        <v/>
      </c>
      <c r="AD268" s="22" t="str">
        <f t="shared" ca="1" si="84"/>
        <v/>
      </c>
      <c r="AE268" s="22" t="str">
        <f t="shared" ca="1" si="84"/>
        <v/>
      </c>
      <c r="AF268" s="22" t="str">
        <f t="shared" ca="1" si="84"/>
        <v/>
      </c>
      <c r="AG268" s="22" t="str">
        <f t="shared" ca="1" si="84"/>
        <v/>
      </c>
      <c r="AH268" s="23" t="str">
        <f t="shared" ca="1" si="84"/>
        <v/>
      </c>
      <c r="AJ268" s="12" t="e">
        <f t="shared" si="69"/>
        <v>#N/A</v>
      </c>
      <c r="AK268" s="51" t="e">
        <f t="shared" si="70"/>
        <v>#N/A</v>
      </c>
      <c r="AL268" s="16" t="e">
        <f t="shared" si="71"/>
        <v>#N/A</v>
      </c>
      <c r="AM268" s="16" t="e">
        <f t="shared" si="72"/>
        <v>#N/A</v>
      </c>
      <c r="AN268" s="10" t="e">
        <f t="shared" ca="1" si="73"/>
        <v>#N/A</v>
      </c>
      <c r="AO268" s="10" t="e">
        <f t="shared" ca="1" si="74"/>
        <v>#N/A</v>
      </c>
      <c r="AP268" s="10" t="e">
        <f t="shared" si="75"/>
        <v>#N/A</v>
      </c>
      <c r="AQ268" s="10" t="e">
        <f t="shared" si="76"/>
        <v>#N/A</v>
      </c>
      <c r="AR268" s="10" t="e">
        <f t="shared" si="76"/>
        <v>#N/A</v>
      </c>
      <c r="BC268" s="29"/>
    </row>
    <row r="269" spans="2:55" x14ac:dyDescent="0.25">
      <c r="B269" s="41"/>
      <c r="C269" s="40"/>
      <c r="D269" s="63"/>
      <c r="E269" s="39"/>
      <c r="F269" s="60"/>
      <c r="G269" s="42" t="str">
        <f t="shared" si="82"/>
        <v/>
      </c>
      <c r="H269" s="45">
        <f t="shared" ca="1" si="77"/>
        <v>51</v>
      </c>
      <c r="I269" s="36">
        <f t="shared" ca="1" si="78"/>
        <v>0</v>
      </c>
      <c r="J269" s="36">
        <f t="shared" ca="1" si="79"/>
        <v>0</v>
      </c>
      <c r="L269" s="1">
        <f t="shared" ca="1" si="80"/>
        <v>0</v>
      </c>
      <c r="N269" s="21" t="str">
        <f t="shared" ca="1" si="87"/>
        <v/>
      </c>
      <c r="O269" s="22" t="str">
        <f t="shared" ca="1" si="87"/>
        <v/>
      </c>
      <c r="P269" s="22" t="str">
        <f t="shared" ca="1" si="87"/>
        <v/>
      </c>
      <c r="Q269" s="22" t="str">
        <f t="shared" ca="1" si="87"/>
        <v/>
      </c>
      <c r="R269" s="22" t="str">
        <f t="shared" ca="1" si="87"/>
        <v/>
      </c>
      <c r="S269" s="22" t="str">
        <f t="shared" ca="1" si="87"/>
        <v/>
      </c>
      <c r="T269" s="22" t="str">
        <f t="shared" ca="1" si="87"/>
        <v/>
      </c>
      <c r="U269" s="22" t="str">
        <f t="shared" ca="1" si="87"/>
        <v/>
      </c>
      <c r="V269" s="22" t="str">
        <f t="shared" ca="1" si="87"/>
        <v/>
      </c>
      <c r="W269" s="23" t="str">
        <f t="shared" ca="1" si="87"/>
        <v/>
      </c>
      <c r="Y269" s="21" t="str">
        <f t="shared" ca="1" si="85"/>
        <v/>
      </c>
      <c r="Z269" s="22" t="str">
        <f t="shared" ca="1" si="85"/>
        <v/>
      </c>
      <c r="AA269" s="22" t="str">
        <f t="shared" ca="1" si="85"/>
        <v/>
      </c>
      <c r="AB269" s="22" t="str">
        <f t="shared" ca="1" si="85"/>
        <v/>
      </c>
      <c r="AC269" s="22" t="str">
        <f t="shared" ca="1" si="85"/>
        <v/>
      </c>
      <c r="AD269" s="22" t="str">
        <f t="shared" ca="1" si="84"/>
        <v/>
      </c>
      <c r="AE269" s="22" t="str">
        <f t="shared" ca="1" si="84"/>
        <v/>
      </c>
      <c r="AF269" s="22" t="str">
        <f t="shared" ca="1" si="84"/>
        <v/>
      </c>
      <c r="AG269" s="22" t="str">
        <f t="shared" ca="1" si="84"/>
        <v/>
      </c>
      <c r="AH269" s="23" t="str">
        <f t="shared" ca="1" si="84"/>
        <v/>
      </c>
      <c r="AJ269" s="12" t="e">
        <f t="shared" si="69"/>
        <v>#N/A</v>
      </c>
      <c r="AK269" s="51" t="e">
        <f t="shared" si="70"/>
        <v>#N/A</v>
      </c>
      <c r="AL269" s="16" t="e">
        <f t="shared" si="71"/>
        <v>#N/A</v>
      </c>
      <c r="AM269" s="16" t="e">
        <f t="shared" si="72"/>
        <v>#N/A</v>
      </c>
      <c r="AN269" s="10" t="e">
        <f t="shared" ca="1" si="73"/>
        <v>#N/A</v>
      </c>
      <c r="AO269" s="10" t="e">
        <f t="shared" ca="1" si="74"/>
        <v>#N/A</v>
      </c>
      <c r="AP269" s="10" t="e">
        <f t="shared" si="75"/>
        <v>#N/A</v>
      </c>
      <c r="AQ269" s="10" t="e">
        <f t="shared" si="76"/>
        <v>#N/A</v>
      </c>
      <c r="AR269" s="10" t="e">
        <f t="shared" si="76"/>
        <v>#N/A</v>
      </c>
      <c r="BC269" s="29"/>
    </row>
    <row r="270" spans="2:55" x14ac:dyDescent="0.25">
      <c r="B270" s="41"/>
      <c r="C270" s="40"/>
      <c r="D270" s="63"/>
      <c r="E270" s="39"/>
      <c r="F270" s="60"/>
      <c r="G270" s="42" t="str">
        <f t="shared" si="82"/>
        <v/>
      </c>
      <c r="H270" s="45">
        <f t="shared" ca="1" si="77"/>
        <v>51</v>
      </c>
      <c r="I270" s="36">
        <f t="shared" ca="1" si="78"/>
        <v>0</v>
      </c>
      <c r="J270" s="36">
        <f t="shared" ca="1" si="79"/>
        <v>0</v>
      </c>
      <c r="L270" s="1">
        <f t="shared" ca="1" si="80"/>
        <v>0</v>
      </c>
      <c r="N270" s="21" t="str">
        <f t="shared" ca="1" si="87"/>
        <v/>
      </c>
      <c r="O270" s="22" t="str">
        <f t="shared" ca="1" si="87"/>
        <v/>
      </c>
      <c r="P270" s="22" t="str">
        <f t="shared" ca="1" si="87"/>
        <v/>
      </c>
      <c r="Q270" s="22" t="str">
        <f t="shared" ca="1" si="87"/>
        <v/>
      </c>
      <c r="R270" s="22" t="str">
        <f t="shared" ca="1" si="87"/>
        <v/>
      </c>
      <c r="S270" s="22" t="str">
        <f t="shared" ca="1" si="87"/>
        <v/>
      </c>
      <c r="T270" s="22" t="str">
        <f t="shared" ca="1" si="87"/>
        <v/>
      </c>
      <c r="U270" s="22" t="str">
        <f t="shared" ca="1" si="87"/>
        <v/>
      </c>
      <c r="V270" s="22" t="str">
        <f t="shared" ca="1" si="87"/>
        <v/>
      </c>
      <c r="W270" s="23" t="str">
        <f t="shared" ca="1" si="87"/>
        <v/>
      </c>
      <c r="Y270" s="21" t="str">
        <f t="shared" ca="1" si="85"/>
        <v/>
      </c>
      <c r="Z270" s="22" t="str">
        <f t="shared" ca="1" si="85"/>
        <v/>
      </c>
      <c r="AA270" s="22" t="str">
        <f t="shared" ca="1" si="85"/>
        <v/>
      </c>
      <c r="AB270" s="22" t="str">
        <f t="shared" ca="1" si="85"/>
        <v/>
      </c>
      <c r="AC270" s="22" t="str">
        <f t="shared" ca="1" si="85"/>
        <v/>
      </c>
      <c r="AD270" s="22" t="str">
        <f t="shared" ca="1" si="84"/>
        <v/>
      </c>
      <c r="AE270" s="22" t="str">
        <f t="shared" ca="1" si="84"/>
        <v/>
      </c>
      <c r="AF270" s="22" t="str">
        <f t="shared" ca="1" si="84"/>
        <v/>
      </c>
      <c r="AG270" s="22" t="str">
        <f t="shared" ca="1" si="84"/>
        <v/>
      </c>
      <c r="AH270" s="23" t="str">
        <f t="shared" ca="1" si="84"/>
        <v/>
      </c>
      <c r="AJ270" s="12" t="e">
        <f t="shared" si="69"/>
        <v>#N/A</v>
      </c>
      <c r="AK270" s="51" t="e">
        <f t="shared" si="70"/>
        <v>#N/A</v>
      </c>
      <c r="AL270" s="16" t="e">
        <f t="shared" si="71"/>
        <v>#N/A</v>
      </c>
      <c r="AM270" s="16" t="e">
        <f t="shared" si="72"/>
        <v>#N/A</v>
      </c>
      <c r="AN270" s="10" t="e">
        <f t="shared" ca="1" si="73"/>
        <v>#N/A</v>
      </c>
      <c r="AO270" s="10" t="e">
        <f t="shared" ca="1" si="74"/>
        <v>#N/A</v>
      </c>
      <c r="AP270" s="10" t="e">
        <f t="shared" si="75"/>
        <v>#N/A</v>
      </c>
      <c r="AQ270" s="10" t="e">
        <f t="shared" si="76"/>
        <v>#N/A</v>
      </c>
      <c r="AR270" s="10" t="e">
        <f t="shared" si="76"/>
        <v>#N/A</v>
      </c>
      <c r="BC270" s="29"/>
    </row>
    <row r="271" spans="2:55" x14ac:dyDescent="0.25">
      <c r="B271" s="41"/>
      <c r="C271" s="40"/>
      <c r="D271" s="63"/>
      <c r="E271" s="39"/>
      <c r="F271" s="60"/>
      <c r="G271" s="42" t="str">
        <f t="shared" si="82"/>
        <v/>
      </c>
      <c r="H271" s="45">
        <f t="shared" ca="1" si="77"/>
        <v>51</v>
      </c>
      <c r="I271" s="36">
        <f t="shared" ca="1" si="78"/>
        <v>0</v>
      </c>
      <c r="J271" s="36">
        <f t="shared" ca="1" si="79"/>
        <v>0</v>
      </c>
      <c r="L271" s="1">
        <f t="shared" ca="1" si="80"/>
        <v>0</v>
      </c>
      <c r="N271" s="21" t="str">
        <f t="shared" ca="1" si="87"/>
        <v/>
      </c>
      <c r="O271" s="22" t="str">
        <f t="shared" ca="1" si="87"/>
        <v/>
      </c>
      <c r="P271" s="22" t="str">
        <f t="shared" ca="1" si="87"/>
        <v/>
      </c>
      <c r="Q271" s="22" t="str">
        <f t="shared" ca="1" si="87"/>
        <v/>
      </c>
      <c r="R271" s="22" t="str">
        <f t="shared" ca="1" si="87"/>
        <v/>
      </c>
      <c r="S271" s="22" t="str">
        <f t="shared" ca="1" si="87"/>
        <v/>
      </c>
      <c r="T271" s="22" t="str">
        <f t="shared" ca="1" si="87"/>
        <v/>
      </c>
      <c r="U271" s="22" t="str">
        <f t="shared" ca="1" si="87"/>
        <v/>
      </c>
      <c r="V271" s="22" t="str">
        <f t="shared" ca="1" si="87"/>
        <v/>
      </c>
      <c r="W271" s="23" t="str">
        <f t="shared" ca="1" si="87"/>
        <v/>
      </c>
      <c r="Y271" s="21" t="str">
        <f t="shared" ca="1" si="85"/>
        <v/>
      </c>
      <c r="Z271" s="22" t="str">
        <f t="shared" ca="1" si="85"/>
        <v/>
      </c>
      <c r="AA271" s="22" t="str">
        <f t="shared" ca="1" si="85"/>
        <v/>
      </c>
      <c r="AB271" s="22" t="str">
        <f t="shared" ca="1" si="85"/>
        <v/>
      </c>
      <c r="AC271" s="22" t="str">
        <f t="shared" ca="1" si="85"/>
        <v/>
      </c>
      <c r="AD271" s="22" t="str">
        <f t="shared" ca="1" si="84"/>
        <v/>
      </c>
      <c r="AE271" s="22" t="str">
        <f t="shared" ca="1" si="84"/>
        <v/>
      </c>
      <c r="AF271" s="22" t="str">
        <f t="shared" ca="1" si="84"/>
        <v/>
      </c>
      <c r="AG271" s="22" t="str">
        <f t="shared" ca="1" si="84"/>
        <v/>
      </c>
      <c r="AH271" s="23" t="str">
        <f t="shared" ca="1" si="84"/>
        <v/>
      </c>
      <c r="AJ271" s="12" t="e">
        <f t="shared" si="69"/>
        <v>#N/A</v>
      </c>
      <c r="AK271" s="51" t="e">
        <f t="shared" si="70"/>
        <v>#N/A</v>
      </c>
      <c r="AL271" s="16" t="e">
        <f t="shared" si="71"/>
        <v>#N/A</v>
      </c>
      <c r="AM271" s="16" t="e">
        <f t="shared" si="72"/>
        <v>#N/A</v>
      </c>
      <c r="AN271" s="10" t="e">
        <f t="shared" ca="1" si="73"/>
        <v>#N/A</v>
      </c>
      <c r="AO271" s="10" t="e">
        <f t="shared" ca="1" si="74"/>
        <v>#N/A</v>
      </c>
      <c r="AP271" s="10" t="e">
        <f t="shared" si="75"/>
        <v>#N/A</v>
      </c>
      <c r="AQ271" s="10" t="e">
        <f t="shared" si="76"/>
        <v>#N/A</v>
      </c>
      <c r="AR271" s="10" t="e">
        <f t="shared" si="76"/>
        <v>#N/A</v>
      </c>
      <c r="BC271" s="29"/>
    </row>
    <row r="272" spans="2:55" x14ac:dyDescent="0.25">
      <c r="B272" s="41"/>
      <c r="C272" s="40"/>
      <c r="D272" s="63"/>
      <c r="E272" s="39"/>
      <c r="F272" s="60"/>
      <c r="G272" s="42" t="str">
        <f t="shared" si="82"/>
        <v/>
      </c>
      <c r="H272" s="45">
        <f t="shared" ca="1" si="77"/>
        <v>51</v>
      </c>
      <c r="I272" s="36">
        <f t="shared" ca="1" si="78"/>
        <v>0</v>
      </c>
      <c r="J272" s="36">
        <f t="shared" ca="1" si="79"/>
        <v>0</v>
      </c>
      <c r="L272" s="1">
        <f t="shared" ca="1" si="80"/>
        <v>0</v>
      </c>
      <c r="N272" s="21" t="str">
        <f t="shared" ca="1" si="87"/>
        <v/>
      </c>
      <c r="O272" s="22" t="str">
        <f t="shared" ca="1" si="87"/>
        <v/>
      </c>
      <c r="P272" s="22" t="str">
        <f t="shared" ca="1" si="87"/>
        <v/>
      </c>
      <c r="Q272" s="22" t="str">
        <f t="shared" ca="1" si="87"/>
        <v/>
      </c>
      <c r="R272" s="22" t="str">
        <f t="shared" ca="1" si="87"/>
        <v/>
      </c>
      <c r="S272" s="22" t="str">
        <f t="shared" ca="1" si="87"/>
        <v/>
      </c>
      <c r="T272" s="22" t="str">
        <f t="shared" ca="1" si="87"/>
        <v/>
      </c>
      <c r="U272" s="22" t="str">
        <f t="shared" ca="1" si="87"/>
        <v/>
      </c>
      <c r="V272" s="22" t="str">
        <f t="shared" ca="1" si="87"/>
        <v/>
      </c>
      <c r="W272" s="23" t="str">
        <f t="shared" ca="1" si="87"/>
        <v/>
      </c>
      <c r="Y272" s="21" t="str">
        <f t="shared" ca="1" si="85"/>
        <v/>
      </c>
      <c r="Z272" s="22" t="str">
        <f t="shared" ca="1" si="85"/>
        <v/>
      </c>
      <c r="AA272" s="22" t="str">
        <f t="shared" ca="1" si="85"/>
        <v/>
      </c>
      <c r="AB272" s="22" t="str">
        <f t="shared" ca="1" si="85"/>
        <v/>
      </c>
      <c r="AC272" s="22" t="str">
        <f t="shared" ca="1" si="85"/>
        <v/>
      </c>
      <c r="AD272" s="22" t="str">
        <f t="shared" ca="1" si="84"/>
        <v/>
      </c>
      <c r="AE272" s="22" t="str">
        <f t="shared" ca="1" si="84"/>
        <v/>
      </c>
      <c r="AF272" s="22" t="str">
        <f t="shared" ca="1" si="84"/>
        <v/>
      </c>
      <c r="AG272" s="22" t="str">
        <f t="shared" ca="1" si="84"/>
        <v/>
      </c>
      <c r="AH272" s="23" t="str">
        <f t="shared" ca="1" si="84"/>
        <v/>
      </c>
      <c r="AJ272" s="12" t="e">
        <f t="shared" si="69"/>
        <v>#N/A</v>
      </c>
      <c r="AK272" s="51" t="e">
        <f t="shared" si="70"/>
        <v>#N/A</v>
      </c>
      <c r="AL272" s="16" t="e">
        <f t="shared" si="71"/>
        <v>#N/A</v>
      </c>
      <c r="AM272" s="16" t="e">
        <f t="shared" si="72"/>
        <v>#N/A</v>
      </c>
      <c r="AN272" s="10" t="e">
        <f t="shared" ca="1" si="73"/>
        <v>#N/A</v>
      </c>
      <c r="AO272" s="10" t="e">
        <f t="shared" ca="1" si="74"/>
        <v>#N/A</v>
      </c>
      <c r="AP272" s="10" t="e">
        <f t="shared" si="75"/>
        <v>#N/A</v>
      </c>
      <c r="AQ272" s="10" t="e">
        <f t="shared" si="76"/>
        <v>#N/A</v>
      </c>
      <c r="AR272" s="10" t="e">
        <f t="shared" si="76"/>
        <v>#N/A</v>
      </c>
      <c r="BC272" s="29"/>
    </row>
    <row r="273" spans="2:55" x14ac:dyDescent="0.25">
      <c r="B273" s="41"/>
      <c r="C273" s="40"/>
      <c r="D273" s="63"/>
      <c r="E273" s="39"/>
      <c r="F273" s="60"/>
      <c r="G273" s="42" t="str">
        <f t="shared" si="82"/>
        <v/>
      </c>
      <c r="H273" s="45">
        <f t="shared" ca="1" si="77"/>
        <v>51</v>
      </c>
      <c r="I273" s="36">
        <f t="shared" ca="1" si="78"/>
        <v>0</v>
      </c>
      <c r="J273" s="36">
        <f t="shared" ca="1" si="79"/>
        <v>0</v>
      </c>
      <c r="L273" s="1">
        <f t="shared" ca="1" si="80"/>
        <v>0</v>
      </c>
      <c r="N273" s="21" t="str">
        <f t="shared" ca="1" si="87"/>
        <v/>
      </c>
      <c r="O273" s="22" t="str">
        <f t="shared" ca="1" si="87"/>
        <v/>
      </c>
      <c r="P273" s="22" t="str">
        <f t="shared" ca="1" si="87"/>
        <v/>
      </c>
      <c r="Q273" s="22" t="str">
        <f t="shared" ca="1" si="87"/>
        <v/>
      </c>
      <c r="R273" s="22" t="str">
        <f t="shared" ca="1" si="87"/>
        <v/>
      </c>
      <c r="S273" s="22" t="str">
        <f t="shared" ca="1" si="87"/>
        <v/>
      </c>
      <c r="T273" s="22" t="str">
        <f t="shared" ca="1" si="87"/>
        <v/>
      </c>
      <c r="U273" s="22" t="str">
        <f t="shared" ca="1" si="87"/>
        <v/>
      </c>
      <c r="V273" s="22" t="str">
        <f t="shared" ca="1" si="87"/>
        <v/>
      </c>
      <c r="W273" s="23" t="str">
        <f t="shared" ca="1" si="87"/>
        <v/>
      </c>
      <c r="Y273" s="21" t="str">
        <f t="shared" ca="1" si="85"/>
        <v/>
      </c>
      <c r="Z273" s="22" t="str">
        <f t="shared" ca="1" si="85"/>
        <v/>
      </c>
      <c r="AA273" s="22" t="str">
        <f t="shared" ca="1" si="85"/>
        <v/>
      </c>
      <c r="AB273" s="22" t="str">
        <f t="shared" ca="1" si="85"/>
        <v/>
      </c>
      <c r="AC273" s="22" t="str">
        <f t="shared" ca="1" si="85"/>
        <v/>
      </c>
      <c r="AD273" s="22" t="str">
        <f t="shared" ca="1" si="84"/>
        <v/>
      </c>
      <c r="AE273" s="22" t="str">
        <f t="shared" ca="1" si="84"/>
        <v/>
      </c>
      <c r="AF273" s="22" t="str">
        <f t="shared" ca="1" si="84"/>
        <v/>
      </c>
      <c r="AG273" s="22" t="str">
        <f t="shared" ca="1" si="84"/>
        <v/>
      </c>
      <c r="AH273" s="23" t="str">
        <f t="shared" ca="1" si="84"/>
        <v/>
      </c>
      <c r="AJ273" s="12" t="e">
        <f t="shared" si="69"/>
        <v>#N/A</v>
      </c>
      <c r="AK273" s="51" t="e">
        <f t="shared" si="70"/>
        <v>#N/A</v>
      </c>
      <c r="AL273" s="16" t="e">
        <f t="shared" si="71"/>
        <v>#N/A</v>
      </c>
      <c r="AM273" s="16" t="e">
        <f t="shared" si="72"/>
        <v>#N/A</v>
      </c>
      <c r="AN273" s="10" t="e">
        <f t="shared" ca="1" si="73"/>
        <v>#N/A</v>
      </c>
      <c r="AO273" s="10" t="e">
        <f t="shared" ca="1" si="74"/>
        <v>#N/A</v>
      </c>
      <c r="AP273" s="10" t="e">
        <f t="shared" si="75"/>
        <v>#N/A</v>
      </c>
      <c r="AQ273" s="10" t="e">
        <f t="shared" si="76"/>
        <v>#N/A</v>
      </c>
      <c r="AR273" s="10" t="e">
        <f t="shared" si="76"/>
        <v>#N/A</v>
      </c>
      <c r="BC273" s="29"/>
    </row>
    <row r="274" spans="2:55" x14ac:dyDescent="0.25">
      <c r="B274" s="41"/>
      <c r="C274" s="40"/>
      <c r="D274" s="63"/>
      <c r="E274" s="39"/>
      <c r="F274" s="60"/>
      <c r="G274" s="42" t="str">
        <f t="shared" si="82"/>
        <v/>
      </c>
      <c r="H274" s="45">
        <f t="shared" ca="1" si="77"/>
        <v>51</v>
      </c>
      <c r="I274" s="36">
        <f t="shared" ca="1" si="78"/>
        <v>0</v>
      </c>
      <c r="J274" s="36">
        <f t="shared" ca="1" si="79"/>
        <v>0</v>
      </c>
      <c r="L274" s="1">
        <f t="shared" ca="1" si="80"/>
        <v>0</v>
      </c>
      <c r="N274" s="21" t="str">
        <f t="shared" ca="1" si="87"/>
        <v/>
      </c>
      <c r="O274" s="22" t="str">
        <f t="shared" ca="1" si="87"/>
        <v/>
      </c>
      <c r="P274" s="22" t="str">
        <f t="shared" ca="1" si="87"/>
        <v/>
      </c>
      <c r="Q274" s="22" t="str">
        <f t="shared" ca="1" si="87"/>
        <v/>
      </c>
      <c r="R274" s="22" t="str">
        <f t="shared" ca="1" si="87"/>
        <v/>
      </c>
      <c r="S274" s="22" t="str">
        <f t="shared" ca="1" si="87"/>
        <v/>
      </c>
      <c r="T274" s="22" t="str">
        <f t="shared" ca="1" si="87"/>
        <v/>
      </c>
      <c r="U274" s="22" t="str">
        <f t="shared" ca="1" si="87"/>
        <v/>
      </c>
      <c r="V274" s="22" t="str">
        <f t="shared" ca="1" si="87"/>
        <v/>
      </c>
      <c r="W274" s="23" t="str">
        <f t="shared" ca="1" si="87"/>
        <v/>
      </c>
      <c r="Y274" s="21" t="str">
        <f t="shared" ca="1" si="85"/>
        <v/>
      </c>
      <c r="Z274" s="22" t="str">
        <f t="shared" ca="1" si="85"/>
        <v/>
      </c>
      <c r="AA274" s="22" t="str">
        <f t="shared" ca="1" si="85"/>
        <v/>
      </c>
      <c r="AB274" s="22" t="str">
        <f t="shared" ca="1" si="85"/>
        <v/>
      </c>
      <c r="AC274" s="22" t="str">
        <f t="shared" ca="1" si="85"/>
        <v/>
      </c>
      <c r="AD274" s="22" t="str">
        <f t="shared" ca="1" si="84"/>
        <v/>
      </c>
      <c r="AE274" s="22" t="str">
        <f t="shared" ca="1" si="84"/>
        <v/>
      </c>
      <c r="AF274" s="22" t="str">
        <f t="shared" ca="1" si="84"/>
        <v/>
      </c>
      <c r="AG274" s="22" t="str">
        <f t="shared" ca="1" si="84"/>
        <v/>
      </c>
      <c r="AH274" s="23" t="str">
        <f t="shared" ca="1" si="84"/>
        <v/>
      </c>
      <c r="AJ274" s="12" t="e">
        <f t="shared" si="69"/>
        <v>#N/A</v>
      </c>
      <c r="AK274" s="51" t="e">
        <f t="shared" si="70"/>
        <v>#N/A</v>
      </c>
      <c r="AL274" s="16" t="e">
        <f t="shared" si="71"/>
        <v>#N/A</v>
      </c>
      <c r="AM274" s="16" t="e">
        <f t="shared" si="72"/>
        <v>#N/A</v>
      </c>
      <c r="AN274" s="10" t="e">
        <f t="shared" ca="1" si="73"/>
        <v>#N/A</v>
      </c>
      <c r="AO274" s="10" t="e">
        <f t="shared" ca="1" si="74"/>
        <v>#N/A</v>
      </c>
      <c r="AP274" s="10" t="e">
        <f t="shared" si="75"/>
        <v>#N/A</v>
      </c>
      <c r="AQ274" s="10" t="e">
        <f t="shared" si="76"/>
        <v>#N/A</v>
      </c>
      <c r="AR274" s="10" t="e">
        <f t="shared" si="76"/>
        <v>#N/A</v>
      </c>
      <c r="BC274" s="29"/>
    </row>
    <row r="275" spans="2:55" x14ac:dyDescent="0.25">
      <c r="B275" s="41"/>
      <c r="C275" s="40"/>
      <c r="D275" s="63"/>
      <c r="E275" s="39"/>
      <c r="F275" s="60"/>
      <c r="G275" s="42" t="str">
        <f t="shared" si="82"/>
        <v/>
      </c>
      <c r="H275" s="45">
        <f t="shared" ca="1" si="77"/>
        <v>51</v>
      </c>
      <c r="I275" s="36">
        <f t="shared" ca="1" si="78"/>
        <v>0</v>
      </c>
      <c r="J275" s="36">
        <f t="shared" ca="1" si="79"/>
        <v>0</v>
      </c>
      <c r="L275" s="1">
        <f t="shared" ca="1" si="80"/>
        <v>0</v>
      </c>
      <c r="N275" s="21" t="str">
        <f t="shared" ca="1" si="87"/>
        <v/>
      </c>
      <c r="O275" s="22" t="str">
        <f t="shared" ca="1" si="87"/>
        <v/>
      </c>
      <c r="P275" s="22" t="str">
        <f t="shared" ca="1" si="87"/>
        <v/>
      </c>
      <c r="Q275" s="22" t="str">
        <f t="shared" ca="1" si="87"/>
        <v/>
      </c>
      <c r="R275" s="22" t="str">
        <f t="shared" ca="1" si="87"/>
        <v/>
      </c>
      <c r="S275" s="22" t="str">
        <f t="shared" ca="1" si="87"/>
        <v/>
      </c>
      <c r="T275" s="22" t="str">
        <f t="shared" ca="1" si="87"/>
        <v/>
      </c>
      <c r="U275" s="22" t="str">
        <f t="shared" ca="1" si="87"/>
        <v/>
      </c>
      <c r="V275" s="22" t="str">
        <f t="shared" ca="1" si="87"/>
        <v/>
      </c>
      <c r="W275" s="23" t="str">
        <f t="shared" ca="1" si="87"/>
        <v/>
      </c>
      <c r="Y275" s="21" t="str">
        <f t="shared" ca="1" si="85"/>
        <v/>
      </c>
      <c r="Z275" s="22" t="str">
        <f t="shared" ca="1" si="85"/>
        <v/>
      </c>
      <c r="AA275" s="22" t="str">
        <f t="shared" ca="1" si="85"/>
        <v/>
      </c>
      <c r="AB275" s="22" t="str">
        <f t="shared" ca="1" si="85"/>
        <v/>
      </c>
      <c r="AC275" s="22" t="str">
        <f t="shared" ca="1" si="85"/>
        <v/>
      </c>
      <c r="AD275" s="22" t="str">
        <f t="shared" ca="1" si="84"/>
        <v/>
      </c>
      <c r="AE275" s="22" t="str">
        <f t="shared" ca="1" si="84"/>
        <v/>
      </c>
      <c r="AF275" s="22" t="str">
        <f t="shared" ca="1" si="84"/>
        <v/>
      </c>
      <c r="AG275" s="22" t="str">
        <f t="shared" ca="1" si="84"/>
        <v/>
      </c>
      <c r="AH275" s="23" t="str">
        <f t="shared" ca="1" si="84"/>
        <v/>
      </c>
      <c r="AJ275" s="12" t="e">
        <f t="shared" si="69"/>
        <v>#N/A</v>
      </c>
      <c r="AK275" s="51" t="e">
        <f t="shared" si="70"/>
        <v>#N/A</v>
      </c>
      <c r="AL275" s="16" t="e">
        <f t="shared" si="71"/>
        <v>#N/A</v>
      </c>
      <c r="AM275" s="16" t="e">
        <f t="shared" si="72"/>
        <v>#N/A</v>
      </c>
      <c r="AN275" s="10" t="e">
        <f t="shared" ca="1" si="73"/>
        <v>#N/A</v>
      </c>
      <c r="AO275" s="10" t="e">
        <f t="shared" ca="1" si="74"/>
        <v>#N/A</v>
      </c>
      <c r="AP275" s="10" t="e">
        <f t="shared" si="75"/>
        <v>#N/A</v>
      </c>
      <c r="AQ275" s="10" t="e">
        <f t="shared" si="76"/>
        <v>#N/A</v>
      </c>
      <c r="AR275" s="10" t="e">
        <f t="shared" si="76"/>
        <v>#N/A</v>
      </c>
      <c r="BC275" s="29"/>
    </row>
    <row r="276" spans="2:55" x14ac:dyDescent="0.25">
      <c r="B276" s="41"/>
      <c r="C276" s="40"/>
      <c r="D276" s="63"/>
      <c r="E276" s="39"/>
      <c r="F276" s="60"/>
      <c r="G276" s="42" t="str">
        <f t="shared" si="82"/>
        <v/>
      </c>
      <c r="H276" s="45">
        <f t="shared" ca="1" si="77"/>
        <v>51</v>
      </c>
      <c r="I276" s="36">
        <f t="shared" ca="1" si="78"/>
        <v>0</v>
      </c>
      <c r="J276" s="36">
        <f t="shared" ca="1" si="79"/>
        <v>0</v>
      </c>
      <c r="L276" s="1">
        <f t="shared" ca="1" si="80"/>
        <v>0</v>
      </c>
      <c r="N276" s="21" t="str">
        <f t="shared" ca="1" si="87"/>
        <v/>
      </c>
      <c r="O276" s="22" t="str">
        <f t="shared" ca="1" si="87"/>
        <v/>
      </c>
      <c r="P276" s="22" t="str">
        <f t="shared" ca="1" si="87"/>
        <v/>
      </c>
      <c r="Q276" s="22" t="str">
        <f t="shared" ca="1" si="87"/>
        <v/>
      </c>
      <c r="R276" s="22" t="str">
        <f t="shared" ca="1" si="87"/>
        <v/>
      </c>
      <c r="S276" s="22" t="str">
        <f t="shared" ca="1" si="87"/>
        <v/>
      </c>
      <c r="T276" s="22" t="str">
        <f t="shared" ca="1" si="87"/>
        <v/>
      </c>
      <c r="U276" s="22" t="str">
        <f t="shared" ca="1" si="87"/>
        <v/>
      </c>
      <c r="V276" s="22" t="str">
        <f t="shared" ca="1" si="87"/>
        <v/>
      </c>
      <c r="W276" s="23" t="str">
        <f t="shared" ca="1" si="87"/>
        <v/>
      </c>
      <c r="Y276" s="21" t="str">
        <f t="shared" ca="1" si="85"/>
        <v/>
      </c>
      <c r="Z276" s="22" t="str">
        <f t="shared" ca="1" si="85"/>
        <v/>
      </c>
      <c r="AA276" s="22" t="str">
        <f t="shared" ca="1" si="85"/>
        <v/>
      </c>
      <c r="AB276" s="22" t="str">
        <f t="shared" ca="1" si="85"/>
        <v/>
      </c>
      <c r="AC276" s="22" t="str">
        <f t="shared" ca="1" si="85"/>
        <v/>
      </c>
      <c r="AD276" s="22" t="str">
        <f t="shared" ca="1" si="84"/>
        <v/>
      </c>
      <c r="AE276" s="22" t="str">
        <f t="shared" ca="1" si="84"/>
        <v/>
      </c>
      <c r="AF276" s="22" t="str">
        <f t="shared" ca="1" si="84"/>
        <v/>
      </c>
      <c r="AG276" s="22" t="str">
        <f t="shared" ca="1" si="84"/>
        <v/>
      </c>
      <c r="AH276" s="23" t="str">
        <f t="shared" ca="1" si="84"/>
        <v/>
      </c>
      <c r="AJ276" s="12" t="e">
        <f t="shared" si="69"/>
        <v>#N/A</v>
      </c>
      <c r="AK276" s="51" t="e">
        <f t="shared" si="70"/>
        <v>#N/A</v>
      </c>
      <c r="AL276" s="16" t="e">
        <f t="shared" si="71"/>
        <v>#N/A</v>
      </c>
      <c r="AM276" s="16" t="e">
        <f t="shared" si="72"/>
        <v>#N/A</v>
      </c>
      <c r="AN276" s="10" t="e">
        <f t="shared" ca="1" si="73"/>
        <v>#N/A</v>
      </c>
      <c r="AO276" s="10" t="e">
        <f t="shared" ca="1" si="74"/>
        <v>#N/A</v>
      </c>
      <c r="AP276" s="10" t="e">
        <f t="shared" si="75"/>
        <v>#N/A</v>
      </c>
      <c r="AQ276" s="10" t="e">
        <f t="shared" si="76"/>
        <v>#N/A</v>
      </c>
      <c r="AR276" s="10" t="e">
        <f t="shared" si="76"/>
        <v>#N/A</v>
      </c>
      <c r="BC276" s="29"/>
    </row>
    <row r="277" spans="2:55" x14ac:dyDescent="0.25">
      <c r="B277" s="41"/>
      <c r="C277" s="40"/>
      <c r="D277" s="63"/>
      <c r="E277" s="39"/>
      <c r="F277" s="60"/>
      <c r="G277" s="42" t="str">
        <f t="shared" si="82"/>
        <v/>
      </c>
      <c r="H277" s="45">
        <f t="shared" ca="1" si="77"/>
        <v>51</v>
      </c>
      <c r="I277" s="36">
        <f t="shared" ca="1" si="78"/>
        <v>0</v>
      </c>
      <c r="J277" s="36">
        <f t="shared" ca="1" si="79"/>
        <v>0</v>
      </c>
      <c r="L277" s="1">
        <f t="shared" ca="1" si="80"/>
        <v>0</v>
      </c>
      <c r="N277" s="21" t="str">
        <f t="shared" ca="1" si="87"/>
        <v/>
      </c>
      <c r="O277" s="22" t="str">
        <f t="shared" ca="1" si="87"/>
        <v/>
      </c>
      <c r="P277" s="22" t="str">
        <f t="shared" ca="1" si="87"/>
        <v/>
      </c>
      <c r="Q277" s="22" t="str">
        <f t="shared" ca="1" si="87"/>
        <v/>
      </c>
      <c r="R277" s="22" t="str">
        <f t="shared" ca="1" si="87"/>
        <v/>
      </c>
      <c r="S277" s="22" t="str">
        <f t="shared" ca="1" si="87"/>
        <v/>
      </c>
      <c r="T277" s="22" t="str">
        <f t="shared" ca="1" si="87"/>
        <v/>
      </c>
      <c r="U277" s="22" t="str">
        <f t="shared" ca="1" si="87"/>
        <v/>
      </c>
      <c r="V277" s="22" t="str">
        <f t="shared" ca="1" si="87"/>
        <v/>
      </c>
      <c r="W277" s="23" t="str">
        <f t="shared" ca="1" si="87"/>
        <v/>
      </c>
      <c r="Y277" s="21" t="str">
        <f t="shared" ca="1" si="85"/>
        <v/>
      </c>
      <c r="Z277" s="22" t="str">
        <f t="shared" ca="1" si="85"/>
        <v/>
      </c>
      <c r="AA277" s="22" t="str">
        <f t="shared" ca="1" si="85"/>
        <v/>
      </c>
      <c r="AB277" s="22" t="str">
        <f t="shared" ca="1" si="85"/>
        <v/>
      </c>
      <c r="AC277" s="22" t="str">
        <f t="shared" ca="1" si="85"/>
        <v/>
      </c>
      <c r="AD277" s="22" t="str">
        <f t="shared" ca="1" si="84"/>
        <v/>
      </c>
      <c r="AE277" s="22" t="str">
        <f t="shared" ca="1" si="84"/>
        <v/>
      </c>
      <c r="AF277" s="22" t="str">
        <f t="shared" ca="1" si="84"/>
        <v/>
      </c>
      <c r="AG277" s="22" t="str">
        <f t="shared" ca="1" si="84"/>
        <v/>
      </c>
      <c r="AH277" s="23" t="str">
        <f t="shared" ca="1" si="84"/>
        <v/>
      </c>
      <c r="AJ277" s="12" t="e">
        <f t="shared" si="69"/>
        <v>#N/A</v>
      </c>
      <c r="AK277" s="51" t="e">
        <f t="shared" si="70"/>
        <v>#N/A</v>
      </c>
      <c r="AL277" s="16" t="e">
        <f t="shared" si="71"/>
        <v>#N/A</v>
      </c>
      <c r="AM277" s="16" t="e">
        <f t="shared" si="72"/>
        <v>#N/A</v>
      </c>
      <c r="AN277" s="10" t="e">
        <f t="shared" ca="1" si="73"/>
        <v>#N/A</v>
      </c>
      <c r="AO277" s="10" t="e">
        <f t="shared" ca="1" si="74"/>
        <v>#N/A</v>
      </c>
      <c r="AP277" s="10" t="e">
        <f t="shared" si="75"/>
        <v>#N/A</v>
      </c>
      <c r="AQ277" s="10" t="e">
        <f t="shared" si="76"/>
        <v>#N/A</v>
      </c>
      <c r="AR277" s="10" t="e">
        <f t="shared" si="76"/>
        <v>#N/A</v>
      </c>
      <c r="BC277" s="29"/>
    </row>
    <row r="278" spans="2:55" x14ac:dyDescent="0.25">
      <c r="B278" s="41"/>
      <c r="C278" s="40"/>
      <c r="D278" s="63"/>
      <c r="E278" s="39"/>
      <c r="F278" s="60"/>
      <c r="G278" s="42" t="str">
        <f t="shared" si="82"/>
        <v/>
      </c>
      <c r="H278" s="45">
        <f t="shared" ca="1" si="77"/>
        <v>51</v>
      </c>
      <c r="I278" s="36">
        <f t="shared" ca="1" si="78"/>
        <v>0</v>
      </c>
      <c r="J278" s="36">
        <f t="shared" ca="1" si="79"/>
        <v>0</v>
      </c>
      <c r="L278" s="1">
        <f t="shared" ca="1" si="80"/>
        <v>0</v>
      </c>
      <c r="N278" s="21" t="str">
        <f t="shared" ca="1" si="87"/>
        <v/>
      </c>
      <c r="O278" s="22" t="str">
        <f t="shared" ca="1" si="87"/>
        <v/>
      </c>
      <c r="P278" s="22" t="str">
        <f t="shared" ca="1" si="87"/>
        <v/>
      </c>
      <c r="Q278" s="22" t="str">
        <f t="shared" ca="1" si="87"/>
        <v/>
      </c>
      <c r="R278" s="22" t="str">
        <f t="shared" ca="1" si="87"/>
        <v/>
      </c>
      <c r="S278" s="22" t="str">
        <f t="shared" ca="1" si="87"/>
        <v/>
      </c>
      <c r="T278" s="22" t="str">
        <f t="shared" ca="1" si="87"/>
        <v/>
      </c>
      <c r="U278" s="22" t="str">
        <f t="shared" ca="1" si="87"/>
        <v/>
      </c>
      <c r="V278" s="22" t="str">
        <f t="shared" ca="1" si="87"/>
        <v/>
      </c>
      <c r="W278" s="23" t="str">
        <f t="shared" ca="1" si="87"/>
        <v/>
      </c>
      <c r="Y278" s="21" t="str">
        <f t="shared" ca="1" si="85"/>
        <v/>
      </c>
      <c r="Z278" s="22" t="str">
        <f t="shared" ca="1" si="85"/>
        <v/>
      </c>
      <c r="AA278" s="22" t="str">
        <f t="shared" ca="1" si="85"/>
        <v/>
      </c>
      <c r="AB278" s="22" t="str">
        <f t="shared" ca="1" si="85"/>
        <v/>
      </c>
      <c r="AC278" s="22" t="str">
        <f t="shared" ca="1" si="85"/>
        <v/>
      </c>
      <c r="AD278" s="22" t="str">
        <f t="shared" ca="1" si="84"/>
        <v/>
      </c>
      <c r="AE278" s="22" t="str">
        <f t="shared" ca="1" si="84"/>
        <v/>
      </c>
      <c r="AF278" s="22" t="str">
        <f t="shared" ca="1" si="84"/>
        <v/>
      </c>
      <c r="AG278" s="22" t="str">
        <f t="shared" ca="1" si="84"/>
        <v/>
      </c>
      <c r="AH278" s="23" t="str">
        <f t="shared" ca="1" si="84"/>
        <v/>
      </c>
      <c r="AJ278" s="12" t="e">
        <f t="shared" si="69"/>
        <v>#N/A</v>
      </c>
      <c r="AK278" s="51" t="e">
        <f t="shared" si="70"/>
        <v>#N/A</v>
      </c>
      <c r="AL278" s="16" t="e">
        <f t="shared" si="71"/>
        <v>#N/A</v>
      </c>
      <c r="AM278" s="16" t="e">
        <f t="shared" si="72"/>
        <v>#N/A</v>
      </c>
      <c r="AN278" s="10" t="e">
        <f t="shared" ca="1" si="73"/>
        <v>#N/A</v>
      </c>
      <c r="AO278" s="10" t="e">
        <f t="shared" ca="1" si="74"/>
        <v>#N/A</v>
      </c>
      <c r="AP278" s="10" t="e">
        <f t="shared" si="75"/>
        <v>#N/A</v>
      </c>
      <c r="AQ278" s="10" t="e">
        <f t="shared" si="76"/>
        <v>#N/A</v>
      </c>
      <c r="AR278" s="10" t="e">
        <f t="shared" si="76"/>
        <v>#N/A</v>
      </c>
      <c r="BC278" s="29"/>
    </row>
    <row r="279" spans="2:55" x14ac:dyDescent="0.25">
      <c r="B279" s="41"/>
      <c r="C279" s="40"/>
      <c r="D279" s="63"/>
      <c r="E279" s="39"/>
      <c r="F279" s="60"/>
      <c r="G279" s="42" t="str">
        <f t="shared" si="82"/>
        <v/>
      </c>
      <c r="H279" s="45">
        <f t="shared" ca="1" si="77"/>
        <v>51</v>
      </c>
      <c r="I279" s="36">
        <f t="shared" ca="1" si="78"/>
        <v>0</v>
      </c>
      <c r="J279" s="36">
        <f t="shared" ca="1" si="79"/>
        <v>0</v>
      </c>
      <c r="L279" s="1">
        <f t="shared" ca="1" si="80"/>
        <v>0</v>
      </c>
      <c r="N279" s="21" t="str">
        <f t="shared" ca="1" si="87"/>
        <v/>
      </c>
      <c r="O279" s="22" t="str">
        <f t="shared" ca="1" si="87"/>
        <v/>
      </c>
      <c r="P279" s="22" t="str">
        <f t="shared" ca="1" si="87"/>
        <v/>
      </c>
      <c r="Q279" s="22" t="str">
        <f t="shared" ca="1" si="87"/>
        <v/>
      </c>
      <c r="R279" s="22" t="str">
        <f t="shared" ca="1" si="87"/>
        <v/>
      </c>
      <c r="S279" s="22" t="str">
        <f t="shared" ca="1" si="87"/>
        <v/>
      </c>
      <c r="T279" s="22" t="str">
        <f t="shared" ca="1" si="87"/>
        <v/>
      </c>
      <c r="U279" s="22" t="str">
        <f t="shared" ca="1" si="87"/>
        <v/>
      </c>
      <c r="V279" s="22" t="str">
        <f t="shared" ca="1" si="87"/>
        <v/>
      </c>
      <c r="W279" s="23" t="str">
        <f t="shared" ca="1" si="87"/>
        <v/>
      </c>
      <c r="Y279" s="21" t="str">
        <f t="shared" ca="1" si="85"/>
        <v/>
      </c>
      <c r="Z279" s="22" t="str">
        <f t="shared" ca="1" si="85"/>
        <v/>
      </c>
      <c r="AA279" s="22" t="str">
        <f t="shared" ca="1" si="85"/>
        <v/>
      </c>
      <c r="AB279" s="22" t="str">
        <f t="shared" ca="1" si="85"/>
        <v/>
      </c>
      <c r="AC279" s="22" t="str">
        <f t="shared" ca="1" si="85"/>
        <v/>
      </c>
      <c r="AD279" s="22" t="str">
        <f t="shared" ca="1" si="84"/>
        <v/>
      </c>
      <c r="AE279" s="22" t="str">
        <f t="shared" ca="1" si="84"/>
        <v/>
      </c>
      <c r="AF279" s="22" t="str">
        <f t="shared" ca="1" si="84"/>
        <v/>
      </c>
      <c r="AG279" s="22" t="str">
        <f t="shared" ca="1" si="84"/>
        <v/>
      </c>
      <c r="AH279" s="23" t="str">
        <f t="shared" ca="1" si="84"/>
        <v/>
      </c>
      <c r="AJ279" s="12" t="e">
        <f t="shared" si="69"/>
        <v>#N/A</v>
      </c>
      <c r="AK279" s="51" t="e">
        <f t="shared" si="70"/>
        <v>#N/A</v>
      </c>
      <c r="AL279" s="16" t="e">
        <f t="shared" si="71"/>
        <v>#N/A</v>
      </c>
      <c r="AM279" s="16" t="e">
        <f t="shared" si="72"/>
        <v>#N/A</v>
      </c>
      <c r="AN279" s="10" t="e">
        <f t="shared" ca="1" si="73"/>
        <v>#N/A</v>
      </c>
      <c r="AO279" s="10" t="e">
        <f t="shared" ca="1" si="74"/>
        <v>#N/A</v>
      </c>
      <c r="AP279" s="10" t="e">
        <f t="shared" si="75"/>
        <v>#N/A</v>
      </c>
      <c r="AQ279" s="10" t="e">
        <f t="shared" si="76"/>
        <v>#N/A</v>
      </c>
      <c r="AR279" s="10" t="e">
        <f t="shared" si="76"/>
        <v>#N/A</v>
      </c>
      <c r="BC279" s="29"/>
    </row>
    <row r="280" spans="2:55" x14ac:dyDescent="0.25">
      <c r="B280" s="41"/>
      <c r="C280" s="40"/>
      <c r="D280" s="63"/>
      <c r="E280" s="39"/>
      <c r="F280" s="60"/>
      <c r="G280" s="42" t="str">
        <f t="shared" si="82"/>
        <v/>
      </c>
      <c r="H280" s="45">
        <f t="shared" ca="1" si="77"/>
        <v>51</v>
      </c>
      <c r="I280" s="36">
        <f t="shared" ca="1" si="78"/>
        <v>0</v>
      </c>
      <c r="J280" s="36">
        <f t="shared" ca="1" si="79"/>
        <v>0</v>
      </c>
      <c r="L280" s="1">
        <f t="shared" ca="1" si="80"/>
        <v>0</v>
      </c>
      <c r="N280" s="21" t="str">
        <f t="shared" ca="1" si="87"/>
        <v/>
      </c>
      <c r="O280" s="22" t="str">
        <f t="shared" ca="1" si="87"/>
        <v/>
      </c>
      <c r="P280" s="22" t="str">
        <f t="shared" ca="1" si="87"/>
        <v/>
      </c>
      <c r="Q280" s="22" t="str">
        <f t="shared" ca="1" si="87"/>
        <v/>
      </c>
      <c r="R280" s="22" t="str">
        <f t="shared" ca="1" si="87"/>
        <v/>
      </c>
      <c r="S280" s="22" t="str">
        <f t="shared" ca="1" si="87"/>
        <v/>
      </c>
      <c r="T280" s="22" t="str">
        <f t="shared" ca="1" si="87"/>
        <v/>
      </c>
      <c r="U280" s="22" t="str">
        <f t="shared" ca="1" si="87"/>
        <v/>
      </c>
      <c r="V280" s="22" t="str">
        <f t="shared" ca="1" si="87"/>
        <v/>
      </c>
      <c r="W280" s="23" t="str">
        <f t="shared" ca="1" si="87"/>
        <v/>
      </c>
      <c r="Y280" s="21" t="str">
        <f t="shared" ca="1" si="85"/>
        <v/>
      </c>
      <c r="Z280" s="22" t="str">
        <f t="shared" ca="1" si="85"/>
        <v/>
      </c>
      <c r="AA280" s="22" t="str">
        <f t="shared" ca="1" si="85"/>
        <v/>
      </c>
      <c r="AB280" s="22" t="str">
        <f t="shared" ca="1" si="85"/>
        <v/>
      </c>
      <c r="AC280" s="22" t="str">
        <f t="shared" ca="1" si="85"/>
        <v/>
      </c>
      <c r="AD280" s="22" t="str">
        <f t="shared" ca="1" si="84"/>
        <v/>
      </c>
      <c r="AE280" s="22" t="str">
        <f t="shared" ca="1" si="84"/>
        <v/>
      </c>
      <c r="AF280" s="22" t="str">
        <f t="shared" ca="1" si="84"/>
        <v/>
      </c>
      <c r="AG280" s="22" t="str">
        <f t="shared" ca="1" si="84"/>
        <v/>
      </c>
      <c r="AH280" s="23" t="str">
        <f t="shared" ca="1" si="84"/>
        <v/>
      </c>
      <c r="AJ280" s="12" t="e">
        <f t="shared" si="69"/>
        <v>#N/A</v>
      </c>
      <c r="AK280" s="51" t="e">
        <f t="shared" si="70"/>
        <v>#N/A</v>
      </c>
      <c r="AL280" s="16" t="e">
        <f t="shared" si="71"/>
        <v>#N/A</v>
      </c>
      <c r="AM280" s="16" t="e">
        <f t="shared" si="72"/>
        <v>#N/A</v>
      </c>
      <c r="AN280" s="10" t="e">
        <f t="shared" ca="1" si="73"/>
        <v>#N/A</v>
      </c>
      <c r="AO280" s="10" t="e">
        <f t="shared" ca="1" si="74"/>
        <v>#N/A</v>
      </c>
      <c r="AP280" s="10" t="e">
        <f t="shared" si="75"/>
        <v>#N/A</v>
      </c>
      <c r="AQ280" s="10" t="e">
        <f t="shared" si="76"/>
        <v>#N/A</v>
      </c>
      <c r="AR280" s="10" t="e">
        <f t="shared" si="76"/>
        <v>#N/A</v>
      </c>
      <c r="BC280" s="29"/>
    </row>
    <row r="281" spans="2:55" x14ac:dyDescent="0.25">
      <c r="B281" s="41"/>
      <c r="C281" s="40"/>
      <c r="D281" s="63"/>
      <c r="E281" s="39"/>
      <c r="F281" s="60"/>
      <c r="G281" s="42" t="str">
        <f t="shared" si="82"/>
        <v/>
      </c>
      <c r="H281" s="45">
        <f t="shared" ca="1" si="77"/>
        <v>51</v>
      </c>
      <c r="I281" s="36">
        <f t="shared" ca="1" si="78"/>
        <v>0</v>
      </c>
      <c r="J281" s="36">
        <f t="shared" ca="1" si="79"/>
        <v>0</v>
      </c>
      <c r="L281" s="1">
        <f t="shared" ca="1" si="80"/>
        <v>0</v>
      </c>
      <c r="N281" s="21" t="str">
        <f t="shared" ca="1" si="87"/>
        <v/>
      </c>
      <c r="O281" s="22" t="str">
        <f t="shared" ca="1" si="87"/>
        <v/>
      </c>
      <c r="P281" s="22" t="str">
        <f t="shared" ca="1" si="87"/>
        <v/>
      </c>
      <c r="Q281" s="22" t="str">
        <f t="shared" ca="1" si="87"/>
        <v/>
      </c>
      <c r="R281" s="22" t="str">
        <f t="shared" ca="1" si="87"/>
        <v/>
      </c>
      <c r="S281" s="22" t="str">
        <f t="shared" ca="1" si="87"/>
        <v/>
      </c>
      <c r="T281" s="22" t="str">
        <f t="shared" ca="1" si="87"/>
        <v/>
      </c>
      <c r="U281" s="22" t="str">
        <f t="shared" ca="1" si="87"/>
        <v/>
      </c>
      <c r="V281" s="22" t="str">
        <f t="shared" ca="1" si="87"/>
        <v/>
      </c>
      <c r="W281" s="23" t="str">
        <f t="shared" ca="1" si="87"/>
        <v/>
      </c>
      <c r="Y281" s="21" t="str">
        <f t="shared" ca="1" si="85"/>
        <v/>
      </c>
      <c r="Z281" s="22" t="str">
        <f t="shared" ca="1" si="85"/>
        <v/>
      </c>
      <c r="AA281" s="22" t="str">
        <f t="shared" ca="1" si="85"/>
        <v/>
      </c>
      <c r="AB281" s="22" t="str">
        <f t="shared" ca="1" si="85"/>
        <v/>
      </c>
      <c r="AC281" s="22" t="str">
        <f t="shared" ca="1" si="85"/>
        <v/>
      </c>
      <c r="AD281" s="22" t="str">
        <f t="shared" ca="1" si="84"/>
        <v/>
      </c>
      <c r="AE281" s="22" t="str">
        <f t="shared" ca="1" si="84"/>
        <v/>
      </c>
      <c r="AF281" s="22" t="str">
        <f t="shared" ca="1" si="84"/>
        <v/>
      </c>
      <c r="AG281" s="22" t="str">
        <f t="shared" ca="1" si="84"/>
        <v/>
      </c>
      <c r="AH281" s="23" t="str">
        <f t="shared" ca="1" si="84"/>
        <v/>
      </c>
      <c r="AJ281" s="12" t="e">
        <f t="shared" si="69"/>
        <v>#N/A</v>
      </c>
      <c r="AK281" s="51" t="e">
        <f t="shared" si="70"/>
        <v>#N/A</v>
      </c>
      <c r="AL281" s="16" t="e">
        <f t="shared" si="71"/>
        <v>#N/A</v>
      </c>
      <c r="AM281" s="16" t="e">
        <f t="shared" si="72"/>
        <v>#N/A</v>
      </c>
      <c r="AN281" s="10" t="e">
        <f t="shared" ca="1" si="73"/>
        <v>#N/A</v>
      </c>
      <c r="AO281" s="10" t="e">
        <f t="shared" ca="1" si="74"/>
        <v>#N/A</v>
      </c>
      <c r="AP281" s="10" t="e">
        <f t="shared" si="75"/>
        <v>#N/A</v>
      </c>
      <c r="AQ281" s="10" t="e">
        <f t="shared" si="76"/>
        <v>#N/A</v>
      </c>
      <c r="AR281" s="10" t="e">
        <f t="shared" si="76"/>
        <v>#N/A</v>
      </c>
      <c r="BC281" s="29"/>
    </row>
    <row r="282" spans="2:55" x14ac:dyDescent="0.25">
      <c r="B282" s="41"/>
      <c r="C282" s="40"/>
      <c r="D282" s="63"/>
      <c r="E282" s="39"/>
      <c r="F282" s="60"/>
      <c r="G282" s="42" t="str">
        <f t="shared" si="82"/>
        <v/>
      </c>
      <c r="H282" s="45">
        <f t="shared" ca="1" si="77"/>
        <v>51</v>
      </c>
      <c r="I282" s="36">
        <f t="shared" ca="1" si="78"/>
        <v>0</v>
      </c>
      <c r="J282" s="36">
        <f t="shared" ca="1" si="79"/>
        <v>0</v>
      </c>
      <c r="L282" s="1">
        <f t="shared" ca="1" si="80"/>
        <v>0</v>
      </c>
      <c r="N282" s="21" t="str">
        <f t="shared" ca="1" si="87"/>
        <v/>
      </c>
      <c r="O282" s="22" t="str">
        <f t="shared" ca="1" si="87"/>
        <v/>
      </c>
      <c r="P282" s="22" t="str">
        <f t="shared" ca="1" si="87"/>
        <v/>
      </c>
      <c r="Q282" s="22" t="str">
        <f t="shared" ca="1" si="87"/>
        <v/>
      </c>
      <c r="R282" s="22" t="str">
        <f t="shared" ca="1" si="87"/>
        <v/>
      </c>
      <c r="S282" s="22" t="str">
        <f t="shared" ca="1" si="87"/>
        <v/>
      </c>
      <c r="T282" s="22" t="str">
        <f t="shared" ca="1" si="87"/>
        <v/>
      </c>
      <c r="U282" s="22" t="str">
        <f t="shared" ca="1" si="87"/>
        <v/>
      </c>
      <c r="V282" s="22" t="str">
        <f t="shared" ca="1" si="87"/>
        <v/>
      </c>
      <c r="W282" s="23" t="str">
        <f t="shared" ca="1" si="87"/>
        <v/>
      </c>
      <c r="Y282" s="21" t="str">
        <f t="shared" ca="1" si="85"/>
        <v/>
      </c>
      <c r="Z282" s="22" t="str">
        <f t="shared" ca="1" si="85"/>
        <v/>
      </c>
      <c r="AA282" s="22" t="str">
        <f t="shared" ca="1" si="85"/>
        <v/>
      </c>
      <c r="AB282" s="22" t="str">
        <f t="shared" ca="1" si="85"/>
        <v/>
      </c>
      <c r="AC282" s="22" t="str">
        <f t="shared" ca="1" si="85"/>
        <v/>
      </c>
      <c r="AD282" s="22" t="str">
        <f t="shared" ca="1" si="84"/>
        <v/>
      </c>
      <c r="AE282" s="22" t="str">
        <f t="shared" ca="1" si="84"/>
        <v/>
      </c>
      <c r="AF282" s="22" t="str">
        <f t="shared" ca="1" si="84"/>
        <v/>
      </c>
      <c r="AG282" s="22" t="str">
        <f t="shared" ca="1" si="84"/>
        <v/>
      </c>
      <c r="AH282" s="23" t="str">
        <f t="shared" ca="1" si="84"/>
        <v/>
      </c>
      <c r="AJ282" s="12" t="e">
        <f t="shared" ref="AJ282:AJ284" si="88">IF(ISBLANK(C282),NA(),VLOOKUP(L282,values,2,0))</f>
        <v>#N/A</v>
      </c>
      <c r="AK282" s="51" t="e">
        <f t="shared" si="70"/>
        <v>#N/A</v>
      </c>
      <c r="AL282" s="16" t="e">
        <f t="shared" ref="AL282:AL284" si="89">IF(ISBLANK(C282),NA(),AJ282+AK282)</f>
        <v>#N/A</v>
      </c>
      <c r="AM282" s="16" t="e">
        <f t="shared" si="72"/>
        <v>#N/A</v>
      </c>
      <c r="AN282" s="10" t="e">
        <f t="shared" ref="AN282:AN284" ca="1" si="90">IF(SUM(I275:I282)&gt;0,C282,NA())</f>
        <v>#N/A</v>
      </c>
      <c r="AO282" s="10" t="e">
        <f t="shared" ref="AO282:AO284" ca="1" si="91">IF(SUM(J277:J282)&gt;0,C282,NA())</f>
        <v>#N/A</v>
      </c>
      <c r="AP282" s="10" t="e">
        <f t="shared" si="75"/>
        <v>#N/A</v>
      </c>
      <c r="AQ282" s="10" t="e">
        <f t="shared" si="76"/>
        <v>#N/A</v>
      </c>
      <c r="AR282" s="10" t="e">
        <f t="shared" si="76"/>
        <v>#N/A</v>
      </c>
      <c r="BC282" s="29"/>
    </row>
    <row r="283" spans="2:55" x14ac:dyDescent="0.25">
      <c r="B283" s="41"/>
      <c r="C283" s="40"/>
      <c r="D283" s="63"/>
      <c r="E283" s="39"/>
      <c r="F283" s="60"/>
      <c r="G283" s="42" t="str">
        <f t="shared" si="82"/>
        <v/>
      </c>
      <c r="H283" s="45">
        <f t="shared" ref="H283" ca="1" si="92">IF(G283&gt;$C$9,
    IF(I283&lt;&gt;1,
      H282,
      IF(OR($D$7&gt;=1,IF(F283="Change",1,0)=1),
        SUMIFS($C:$C,$G:$G,"&lt;"&amp;G283+$C$13,$G:$G,"&gt;="&amp;G283,$C:$C,"&lt;&gt;")/COUNTIFS($G:$G,"&lt;"&amp;G283+$C$13,$G:$G,"&gt;="&amp;G283,$C:$C,"&lt;&gt;"),
        SUMIFS($C:$C,$G:$G,"&lt;"&amp;$C$9,$C:$C,"&lt;&gt;")/COUNTIFS($G:$G,"&lt;"&amp;$C$9,$C:$C,"&lt;&gt;")
      )
    ),
    SUMIFS($C:$C,$G:$G,"&lt;"&amp;$C$9,$C:$C,"&lt;&gt;")/COUNTIFS($G:$G,"&lt;"&amp;$C$9,$C:$C,"&lt;&gt;")
)</f>
        <v>51</v>
      </c>
      <c r="I283" s="36">
        <f t="shared" ref="I283" ca="1" si="93">IF(G283&gt;$C$9,IF(SUM(I275:I282)&gt;=1,0,IF(OR(ISBLANK(C290),ISNUMBER($C290)=FALSE,SUM(I275:J282)&gt;=1),0,IF(OR(AND(C283&gt;H282,C284&gt;H282,C285&gt;H282,C286&gt;H282,C287&gt;H282,C288&gt;H282,C289&gt;H282,C290&gt;H282),AND(C283&lt;H282,C284&lt;H282,C285&lt;H282,C286&lt;H282,C287&lt;H282,C288&lt;H282,C289&lt;H282,C290&lt;H282)),1,0))),0)</f>
        <v>0</v>
      </c>
      <c r="J283" s="36">
        <f t="shared" ref="J283" ca="1" si="94">IF(G283&gt;$C$9,IF(OR(ISBLANK(C288),ISNUMBER($C290)=FALSE,SUM(I275:J282)&gt;=1),0,IF(SUM(J275:J282)&gt;=1,0,IF(OR(AND(C282&gt;C283,C283&gt;C284,C284&gt;C285,C285&gt;C286,C286&gt;C287,C287&gt;C288),AND(C282&lt;C283,C283&lt;C284,C284&lt;C285,C285&lt;C286,C286&lt;C287,C287&lt;C288)),1,0))),0)</f>
        <v>0</v>
      </c>
      <c r="L283" s="1">
        <f t="shared" ref="L283:L284" ca="1" si="95">IF(L282="Period",1,IF($D$7=1,IF(ISBLANK(C283),0,(IF(I283=1,L282+I283,IF(AND(I283=1,J283=1),L282+I283,L282+J283)))),IF($D$7=2,L282+IF(F283="Change",1,0),1)))</f>
        <v>0</v>
      </c>
      <c r="N283" s="21" t="str">
        <f t="shared" ref="N283:W284" ca="1" si="96">IF(ISNUMBER($C283),IF($G283&lt;=$C$9,IF($L283=N$25,$C283,""),IF(COUNT(INDIRECT(ADDRESS(ROW(N$26),COLUMN())&amp;":"&amp;ADDRESS(ROW()-1,COLUMN())))&gt;$C$13,"",IF($L283=N$25,$C283,""))),"")</f>
        <v/>
      </c>
      <c r="O283" s="22" t="str">
        <f t="shared" ca="1" si="96"/>
        <v/>
      </c>
      <c r="P283" s="22" t="str">
        <f t="shared" ca="1" si="96"/>
        <v/>
      </c>
      <c r="Q283" s="22" t="str">
        <f t="shared" ca="1" si="96"/>
        <v/>
      </c>
      <c r="R283" s="22" t="str">
        <f t="shared" ca="1" si="96"/>
        <v/>
      </c>
      <c r="S283" s="22" t="str">
        <f t="shared" ca="1" si="96"/>
        <v/>
      </c>
      <c r="T283" s="22" t="str">
        <f t="shared" ca="1" si="96"/>
        <v/>
      </c>
      <c r="U283" s="22" t="str">
        <f t="shared" ca="1" si="96"/>
        <v/>
      </c>
      <c r="V283" s="22" t="str">
        <f t="shared" ca="1" si="96"/>
        <v/>
      </c>
      <c r="W283" s="23" t="str">
        <f t="shared" ca="1" si="96"/>
        <v/>
      </c>
      <c r="Y283" s="21" t="str">
        <f t="shared" ca="1" si="85"/>
        <v/>
      </c>
      <c r="Z283" s="22" t="str">
        <f t="shared" ca="1" si="85"/>
        <v/>
      </c>
      <c r="AA283" s="22" t="str">
        <f t="shared" ca="1" si="85"/>
        <v/>
      </c>
      <c r="AB283" s="22" t="str">
        <f t="shared" ca="1" si="85"/>
        <v/>
      </c>
      <c r="AC283" s="22" t="str">
        <f t="shared" ca="1" si="85"/>
        <v/>
      </c>
      <c r="AD283" s="22" t="str">
        <f t="shared" ca="1" si="84"/>
        <v/>
      </c>
      <c r="AE283" s="22" t="str">
        <f t="shared" ca="1" si="84"/>
        <v/>
      </c>
      <c r="AF283" s="22" t="str">
        <f t="shared" ca="1" si="84"/>
        <v/>
      </c>
      <c r="AG283" s="22" t="str">
        <f t="shared" ca="1" si="84"/>
        <v/>
      </c>
      <c r="AH283" s="23" t="str">
        <f t="shared" ca="1" si="84"/>
        <v/>
      </c>
      <c r="AJ283" s="12" t="e">
        <f t="shared" si="88"/>
        <v>#N/A</v>
      </c>
      <c r="AK283" s="51" t="e">
        <f t="shared" si="70"/>
        <v>#N/A</v>
      </c>
      <c r="AL283" s="16" t="e">
        <f t="shared" si="89"/>
        <v>#N/A</v>
      </c>
      <c r="AM283" s="16" t="e">
        <f t="shared" si="72"/>
        <v>#N/A</v>
      </c>
      <c r="AN283" s="10" t="e">
        <f t="shared" ca="1" si="90"/>
        <v>#N/A</v>
      </c>
      <c r="AO283" s="10" t="e">
        <f t="shared" ca="1" si="91"/>
        <v>#N/A</v>
      </c>
      <c r="AP283" s="10" t="e">
        <f t="shared" si="75"/>
        <v>#N/A</v>
      </c>
      <c r="AQ283" s="10" t="e">
        <f t="shared" si="76"/>
        <v>#N/A</v>
      </c>
      <c r="AR283" s="10" t="e">
        <f t="shared" si="76"/>
        <v>#N/A</v>
      </c>
      <c r="BC283" s="29"/>
    </row>
    <row r="284" spans="2:55" x14ac:dyDescent="0.25">
      <c r="B284" s="41"/>
      <c r="C284" s="40"/>
      <c r="D284" s="39"/>
      <c r="E284" s="39"/>
      <c r="F284" s="60"/>
      <c r="G284" s="42" t="e">
        <f t="shared" ref="G284" si="97">G283+1</f>
        <v>#VALUE!</v>
      </c>
      <c r="H284" s="45" t="e">
        <f t="shared" ref="H284" si="98">IF(G284&gt;$C$9,
    IF(I284&lt;&gt;1,
      H283,
      IF($D$7=1,
        SUMIFS($C:$C,$G:$G,"&lt;"&amp;G284+$C$13,$G:$G,"&gt;="&amp;G284,$C:$C,"&lt;&gt;")/COUNTIFS($G:$G,"&lt;"&amp;G284+$C$13,$G:$G,"&gt;="&amp;G284,$C:$C,"&lt;&gt;"),
        SUMIFS($C:$C,$G:$G,"&lt;"&amp;$C$9,$C:$C,"&lt;&gt;")/COUNTIFS($G:$G,"&lt;"&amp;$C$9,$C:$C,"&lt;&gt;")
      )
    ),
    SUMIFS($C:$C,$G:$G,"&lt;"&amp;$C$9,$C:$C,"&lt;&gt;")/COUNTIFS($G:$G,"&lt;"&amp;$C$9,$C:$C,"&lt;&gt;")
)</f>
        <v>#VALUE!</v>
      </c>
      <c r="I284" s="36" t="e">
        <f>IF(G284&gt;$C$9,IF(SUM(I276:I283)&gt;=1,0,IF(ISBLANK(#REF!),0,IF(OR(AND(C284&gt;H283,#REF!&gt;H283,#REF!&gt;H283,#REF!&gt;H283,#REF!&gt;H283,#REF!&gt;H283,#REF!&gt;H283,#REF!&gt;H283),AND(C284&lt;H283,#REF!&lt;H283,#REF!&lt;H283,#REF!&lt;H283,#REF!&lt;H283,#REF!&lt;H283,#REF!&lt;H283,#REF!&lt;H283)),1,0))),0)</f>
        <v>#VALUE!</v>
      </c>
      <c r="J284" s="36" t="e">
        <f>IF(G284&gt;$C$9,IF(ISBLANK(#REF!),0,IF(SUM(J276:J283)&gt;=1,0,IF(OR(AND(C283&gt;C284,C284&gt;#REF!,#REF!&gt;#REF!,#REF!&gt;#REF!,#REF!&gt;#REF!,#REF!&gt;#REF!),AND(C283&lt;C284,C284&lt;#REF!,#REF!&lt;#REF!,#REF!&lt;#REF!,#REF!&lt;#REF!,#REF!&lt;#REF!)),1,0))),0)</f>
        <v>#VALUE!</v>
      </c>
      <c r="L284" s="1">
        <f t="shared" ca="1" si="95"/>
        <v>0</v>
      </c>
      <c r="N284" s="21" t="str">
        <f t="shared" ca="1" si="96"/>
        <v/>
      </c>
      <c r="O284" s="22" t="str">
        <f t="shared" ca="1" si="96"/>
        <v/>
      </c>
      <c r="P284" s="22" t="str">
        <f t="shared" ca="1" si="96"/>
        <v/>
      </c>
      <c r="Q284" s="22" t="str">
        <f t="shared" ca="1" si="96"/>
        <v/>
      </c>
      <c r="R284" s="22" t="str">
        <f t="shared" ca="1" si="96"/>
        <v/>
      </c>
      <c r="S284" s="22" t="str">
        <f t="shared" ca="1" si="96"/>
        <v/>
      </c>
      <c r="T284" s="22" t="str">
        <f t="shared" ca="1" si="96"/>
        <v/>
      </c>
      <c r="U284" s="22" t="str">
        <f t="shared" ca="1" si="96"/>
        <v/>
      </c>
      <c r="V284" s="22" t="str">
        <f t="shared" ca="1" si="96"/>
        <v/>
      </c>
      <c r="W284" s="23" t="str">
        <f t="shared" ca="1" si="96"/>
        <v/>
      </c>
      <c r="Y284" s="21" t="str">
        <f t="shared" ca="1" si="85"/>
        <v/>
      </c>
      <c r="Z284" s="22" t="str">
        <f t="shared" ca="1" si="85"/>
        <v/>
      </c>
      <c r="AA284" s="22" t="str">
        <f t="shared" ca="1" si="85"/>
        <v/>
      </c>
      <c r="AB284" s="22" t="str">
        <f t="shared" ca="1" si="85"/>
        <v/>
      </c>
      <c r="AC284" s="22" t="str">
        <f t="shared" ca="1" si="85"/>
        <v/>
      </c>
      <c r="AD284" s="22" t="str">
        <f t="shared" ca="1" si="84"/>
        <v/>
      </c>
      <c r="AE284" s="22" t="str">
        <f t="shared" ca="1" si="84"/>
        <v/>
      </c>
      <c r="AF284" s="22" t="str">
        <f t="shared" ca="1" si="84"/>
        <v/>
      </c>
      <c r="AG284" s="22" t="str">
        <f t="shared" ca="1" si="84"/>
        <v/>
      </c>
      <c r="AH284" s="23" t="str">
        <f t="shared" ca="1" si="84"/>
        <v/>
      </c>
      <c r="AJ284" s="12" t="e">
        <f t="shared" si="88"/>
        <v>#N/A</v>
      </c>
      <c r="AK284" s="51" t="e">
        <f t="shared" si="70"/>
        <v>#N/A</v>
      </c>
      <c r="AL284" s="16" t="e">
        <f t="shared" si="89"/>
        <v>#N/A</v>
      </c>
      <c r="AM284" s="16" t="e">
        <f t="shared" si="72"/>
        <v>#N/A</v>
      </c>
      <c r="AN284" s="10" t="e">
        <f t="shared" ca="1" si="90"/>
        <v>#VALUE!</v>
      </c>
      <c r="AO284" s="10" t="e">
        <f t="shared" ca="1" si="91"/>
        <v>#VALUE!</v>
      </c>
      <c r="AP284" s="10" t="e">
        <f t="shared" si="75"/>
        <v>#N/A</v>
      </c>
      <c r="AQ284" s="10" t="e">
        <f t="shared" si="76"/>
        <v>#N/A</v>
      </c>
      <c r="AR284" s="10" t="e">
        <f t="shared" si="76"/>
        <v>#N/A</v>
      </c>
      <c r="BC284" s="29"/>
    </row>
  </sheetData>
  <mergeCells count="3">
    <mergeCell ref="BB26:BB35"/>
    <mergeCell ref="B17:C17"/>
    <mergeCell ref="D17:E17"/>
  </mergeCells>
  <dataValidations count="7">
    <dataValidation type="list" allowBlank="1" showInputMessage="1" showErrorMessage="1" sqref="C10">
      <formula1>"12"</formula1>
    </dataValidation>
    <dataValidation showDropDown="1" showInputMessage="1" showErrorMessage="1" sqref="H9:H11"/>
    <dataValidation type="whole" allowBlank="1" showInputMessage="1" showErrorMessage="1" sqref="C13">
      <formula1>0</formula1>
      <formula2>100</formula2>
    </dataValidation>
    <dataValidation type="list" allowBlank="1" showInputMessage="1" showErrorMessage="1" sqref="C7">
      <formula1>"Automatically,Manually,Never"</formula1>
    </dataValidation>
    <dataValidation type="whole" showDropDown="1" showInputMessage="1" showErrorMessage="1" sqref="C9">
      <formula1>12</formula1>
      <formula2>10000</formula2>
    </dataValidation>
    <dataValidation type="list" allowBlank="1" showInputMessage="1" showErrorMessage="1" sqref="C11">
      <formula1>$AV$25:$BA$25</formula1>
    </dataValidation>
    <dataValidation type="list" showInputMessage="1" showErrorMessage="1" sqref="F26:F284">
      <formula1>$F$13:$F$14</formula1>
    </dataValidation>
  </dataValidations>
  <pageMargins left="0.70866141732283472" right="0.70866141732283472" top="0.74803149606299213" bottom="0.74803149606299213" header="0.31496062992125984" footer="0.31496062992125984"/>
  <pageSetup paperSize="9" scale="2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artReset">
                <anchor moveWithCells="1" sizeWithCells="1">
                  <from>
                    <xdr:col>55</xdr:col>
                    <xdr:colOff>19050</xdr:colOff>
                    <xdr:row>15</xdr:row>
                    <xdr:rowOff>38100</xdr:rowOff>
                  </from>
                  <to>
                    <xdr:col>57</xdr:col>
                    <xdr:colOff>171450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C44"/>
  <sheetViews>
    <sheetView workbookViewId="0">
      <selection activeCell="B2" sqref="B2"/>
    </sheetView>
  </sheetViews>
  <sheetFormatPr defaultRowHeight="15" x14ac:dyDescent="0.25"/>
  <cols>
    <col min="2" max="2" width="10.7109375" bestFit="1" customWidth="1"/>
  </cols>
  <sheetData>
    <row r="3" spans="2:3" x14ac:dyDescent="0.25">
      <c r="C3" t="s">
        <v>44</v>
      </c>
    </row>
    <row r="4" spans="2:3" x14ac:dyDescent="0.25">
      <c r="B4" s="64">
        <v>42461</v>
      </c>
      <c r="C4">
        <f ca="1">RANDBETWEEN(40,60)</f>
        <v>55</v>
      </c>
    </row>
    <row r="5" spans="2:3" x14ac:dyDescent="0.25">
      <c r="B5" s="64">
        <v>42491</v>
      </c>
      <c r="C5">
        <f t="shared" ref="C5:C44" ca="1" si="0">RANDBETWEEN(40,60)</f>
        <v>58</v>
      </c>
    </row>
    <row r="6" spans="2:3" x14ac:dyDescent="0.25">
      <c r="B6" s="64">
        <v>42522</v>
      </c>
      <c r="C6">
        <f t="shared" ca="1" si="0"/>
        <v>51</v>
      </c>
    </row>
    <row r="7" spans="2:3" x14ac:dyDescent="0.25">
      <c r="B7" s="64">
        <v>42552</v>
      </c>
      <c r="C7">
        <f t="shared" ca="1" si="0"/>
        <v>52</v>
      </c>
    </row>
    <row r="8" spans="2:3" x14ac:dyDescent="0.25">
      <c r="B8" s="64">
        <v>42583</v>
      </c>
      <c r="C8">
        <f t="shared" ca="1" si="0"/>
        <v>57</v>
      </c>
    </row>
    <row r="9" spans="2:3" x14ac:dyDescent="0.25">
      <c r="B9" s="64">
        <v>42614</v>
      </c>
      <c r="C9">
        <f t="shared" ca="1" si="0"/>
        <v>56</v>
      </c>
    </row>
    <row r="10" spans="2:3" x14ac:dyDescent="0.25">
      <c r="B10" s="64">
        <v>42644</v>
      </c>
      <c r="C10">
        <f t="shared" ca="1" si="0"/>
        <v>45</v>
      </c>
    </row>
    <row r="11" spans="2:3" x14ac:dyDescent="0.25">
      <c r="B11" s="64">
        <v>42675</v>
      </c>
      <c r="C11">
        <f t="shared" ca="1" si="0"/>
        <v>45</v>
      </c>
    </row>
    <row r="12" spans="2:3" x14ac:dyDescent="0.25">
      <c r="B12" s="64">
        <v>42705</v>
      </c>
      <c r="C12">
        <f t="shared" ca="1" si="0"/>
        <v>46</v>
      </c>
    </row>
    <row r="13" spans="2:3" x14ac:dyDescent="0.25">
      <c r="B13" s="64">
        <v>42736</v>
      </c>
      <c r="C13">
        <f t="shared" ca="1" si="0"/>
        <v>44</v>
      </c>
    </row>
    <row r="14" spans="2:3" x14ac:dyDescent="0.25">
      <c r="B14" s="64">
        <v>42767</v>
      </c>
      <c r="C14">
        <f t="shared" ca="1" si="0"/>
        <v>52</v>
      </c>
    </row>
    <row r="15" spans="2:3" x14ac:dyDescent="0.25">
      <c r="B15" s="64">
        <v>42795</v>
      </c>
      <c r="C15">
        <f t="shared" ca="1" si="0"/>
        <v>54</v>
      </c>
    </row>
    <row r="16" spans="2:3" x14ac:dyDescent="0.25">
      <c r="B16" s="64">
        <v>42826</v>
      </c>
      <c r="C16">
        <f t="shared" ca="1" si="0"/>
        <v>54</v>
      </c>
    </row>
    <row r="17" spans="2:3" x14ac:dyDescent="0.25">
      <c r="B17" s="64">
        <v>42856</v>
      </c>
      <c r="C17">
        <f t="shared" ca="1" si="0"/>
        <v>49</v>
      </c>
    </row>
    <row r="18" spans="2:3" x14ac:dyDescent="0.25">
      <c r="B18" s="64">
        <v>42887</v>
      </c>
      <c r="C18">
        <f t="shared" ca="1" si="0"/>
        <v>50</v>
      </c>
    </row>
    <row r="19" spans="2:3" x14ac:dyDescent="0.25">
      <c r="B19" s="64">
        <v>42917</v>
      </c>
      <c r="C19">
        <f t="shared" ca="1" si="0"/>
        <v>44</v>
      </c>
    </row>
    <row r="20" spans="2:3" x14ac:dyDescent="0.25">
      <c r="B20" s="64">
        <v>42948</v>
      </c>
      <c r="C20">
        <f t="shared" ca="1" si="0"/>
        <v>46</v>
      </c>
    </row>
    <row r="21" spans="2:3" x14ac:dyDescent="0.25">
      <c r="B21" s="64">
        <v>42979</v>
      </c>
      <c r="C21">
        <f t="shared" ca="1" si="0"/>
        <v>58</v>
      </c>
    </row>
    <row r="22" spans="2:3" x14ac:dyDescent="0.25">
      <c r="B22" s="64">
        <v>43009</v>
      </c>
      <c r="C22">
        <f t="shared" ca="1" si="0"/>
        <v>53</v>
      </c>
    </row>
    <row r="23" spans="2:3" x14ac:dyDescent="0.25">
      <c r="B23" s="64">
        <v>43040</v>
      </c>
      <c r="C23">
        <f t="shared" ca="1" si="0"/>
        <v>43</v>
      </c>
    </row>
    <row r="24" spans="2:3" x14ac:dyDescent="0.25">
      <c r="B24" s="64">
        <v>43070</v>
      </c>
      <c r="C24">
        <f t="shared" ca="1" si="0"/>
        <v>51</v>
      </c>
    </row>
    <row r="25" spans="2:3" x14ac:dyDescent="0.25">
      <c r="B25" s="64">
        <v>43101</v>
      </c>
      <c r="C25">
        <f t="shared" ca="1" si="0"/>
        <v>60</v>
      </c>
    </row>
    <row r="26" spans="2:3" x14ac:dyDescent="0.25">
      <c r="B26" s="64">
        <v>43132</v>
      </c>
      <c r="C26">
        <f t="shared" ca="1" si="0"/>
        <v>50</v>
      </c>
    </row>
    <row r="27" spans="2:3" x14ac:dyDescent="0.25">
      <c r="B27" s="64">
        <v>43160</v>
      </c>
      <c r="C27">
        <f t="shared" ca="1" si="0"/>
        <v>48</v>
      </c>
    </row>
    <row r="28" spans="2:3" x14ac:dyDescent="0.25">
      <c r="B28" s="64">
        <v>43191</v>
      </c>
      <c r="C28">
        <f t="shared" ca="1" si="0"/>
        <v>59</v>
      </c>
    </row>
    <row r="29" spans="2:3" x14ac:dyDescent="0.25">
      <c r="B29" s="64">
        <v>43221</v>
      </c>
      <c r="C29">
        <f t="shared" ca="1" si="0"/>
        <v>41</v>
      </c>
    </row>
    <row r="30" spans="2:3" x14ac:dyDescent="0.25">
      <c r="B30" s="64">
        <v>43252</v>
      </c>
      <c r="C30">
        <f t="shared" ca="1" si="0"/>
        <v>59</v>
      </c>
    </row>
    <row r="31" spans="2:3" x14ac:dyDescent="0.25">
      <c r="B31" s="64">
        <v>43282</v>
      </c>
      <c r="C31">
        <f t="shared" ca="1" si="0"/>
        <v>59</v>
      </c>
    </row>
    <row r="32" spans="2:3" x14ac:dyDescent="0.25">
      <c r="B32" s="64">
        <v>43313</v>
      </c>
      <c r="C32">
        <f t="shared" ca="1" si="0"/>
        <v>43</v>
      </c>
    </row>
    <row r="33" spans="2:3" x14ac:dyDescent="0.25">
      <c r="B33" s="64">
        <v>43344</v>
      </c>
      <c r="C33">
        <f t="shared" ca="1" si="0"/>
        <v>56</v>
      </c>
    </row>
    <row r="34" spans="2:3" x14ac:dyDescent="0.25">
      <c r="B34" s="64">
        <v>43374</v>
      </c>
      <c r="C34">
        <f t="shared" ca="1" si="0"/>
        <v>53</v>
      </c>
    </row>
    <row r="35" spans="2:3" x14ac:dyDescent="0.25">
      <c r="B35" s="64">
        <v>43405</v>
      </c>
      <c r="C35">
        <f t="shared" ca="1" si="0"/>
        <v>42</v>
      </c>
    </row>
    <row r="36" spans="2:3" x14ac:dyDescent="0.25">
      <c r="B36" s="64">
        <v>43435</v>
      </c>
      <c r="C36">
        <f t="shared" ca="1" si="0"/>
        <v>44</v>
      </c>
    </row>
    <row r="37" spans="2:3" x14ac:dyDescent="0.25">
      <c r="B37" s="64">
        <v>43466</v>
      </c>
      <c r="C37">
        <f t="shared" ca="1" si="0"/>
        <v>44</v>
      </c>
    </row>
    <row r="38" spans="2:3" x14ac:dyDescent="0.25">
      <c r="B38" s="64">
        <v>43497</v>
      </c>
      <c r="C38">
        <f t="shared" ca="1" si="0"/>
        <v>53</v>
      </c>
    </row>
    <row r="39" spans="2:3" x14ac:dyDescent="0.25">
      <c r="B39" s="64">
        <v>43525</v>
      </c>
      <c r="C39">
        <f t="shared" ca="1" si="0"/>
        <v>43</v>
      </c>
    </row>
    <row r="40" spans="2:3" x14ac:dyDescent="0.25">
      <c r="B40" s="64">
        <v>43556</v>
      </c>
      <c r="C40">
        <f t="shared" ca="1" si="0"/>
        <v>44</v>
      </c>
    </row>
    <row r="41" spans="2:3" x14ac:dyDescent="0.25">
      <c r="B41" s="64">
        <v>43586</v>
      </c>
      <c r="C41">
        <f t="shared" ca="1" si="0"/>
        <v>60</v>
      </c>
    </row>
    <row r="42" spans="2:3" x14ac:dyDescent="0.25">
      <c r="B42" s="64">
        <v>43617</v>
      </c>
      <c r="C42">
        <f t="shared" ca="1" si="0"/>
        <v>45</v>
      </c>
    </row>
    <row r="43" spans="2:3" x14ac:dyDescent="0.25">
      <c r="B43" s="64">
        <v>43647</v>
      </c>
      <c r="C43">
        <f t="shared" ca="1" si="0"/>
        <v>60</v>
      </c>
    </row>
    <row r="44" spans="2:3" x14ac:dyDescent="0.25">
      <c r="B44" s="64">
        <v>43678</v>
      </c>
      <c r="C44">
        <f t="shared" ca="1" si="0"/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Master</vt:lpstr>
      <vt:lpstr>Your data source</vt:lpstr>
      <vt:lpstr>Chart1</vt:lpstr>
      <vt:lpstr>Master!values</vt:lpstr>
    </vt:vector>
  </TitlesOfParts>
  <Company>Royal Free London NHS Foundation Trust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sh7g</dc:creator>
  <cp:lastModifiedBy>Wilson, Scott</cp:lastModifiedBy>
  <cp:lastPrinted>2017-10-17T08:30:29Z</cp:lastPrinted>
  <dcterms:created xsi:type="dcterms:W3CDTF">2013-01-29T14:24:26Z</dcterms:created>
  <dcterms:modified xsi:type="dcterms:W3CDTF">2019-08-11T11:34:30Z</dcterms:modified>
</cp:coreProperties>
</file>